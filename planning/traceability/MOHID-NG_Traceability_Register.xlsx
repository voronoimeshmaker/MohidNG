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6.04-Test\home\jflavio\Programas\MohidNG\planning\traceability\"/>
    </mc:Choice>
  </mc:AlternateContent>
  <xr:revisionPtr revIDLastSave="0" documentId="13_ncr:1_{D09DC598-BEFA-4A28-A462-C7275A755A51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00_README" sheetId="1" r:id="rId1"/>
    <sheet name="01_Dashboard" sheetId="2" r:id="rId2"/>
    <sheet name="02_P0_Actions" sheetId="3" r:id="rId3"/>
    <sheet name="03_Change_Register" sheetId="4" r:id="rId4"/>
    <sheet name="04_Repository_Audit" sheetId="5" r:id="rId5"/>
    <sheet name="05_Requirements" sheetId="6" r:id="rId6"/>
    <sheet name="06_Decisions_ADRs" sheetId="7" r:id="rId7"/>
    <sheet name="07_Tests" sheetId="8" r:id="rId8"/>
    <sheet name="08_Evidence" sheetId="9" r:id="rId9"/>
    <sheet name="09_Roadmap_Cases" sheetId="10" r:id="rId10"/>
    <sheet name="10_Releases" sheetId="11" r:id="rId11"/>
    <sheet name="11_Lis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E8" i="2"/>
  <c r="B8" i="2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<sst xmlns="http://schemas.openxmlformats.org/spreadsheetml/2006/main" count="1028" uniqueCount="570">
  <si>
    <t>MOHID-NG Traceability and Change-Management Register</t>
  </si>
  <si>
    <t>Campo</t>
  </si>
  <si>
    <t>Valor</t>
  </si>
  <si>
    <t>Versão da planilha</t>
  </si>
  <si>
    <t>0.1</t>
  </si>
  <si>
    <t>Data de criação</t>
  </si>
  <si>
    <t>Documento normativo</t>
  </si>
  <si>
    <t>MOHID-NG_Definicao_do_Sistema_16_itens_v0.14.pdf</t>
  </si>
  <si>
    <t>Baseline Git</t>
  </si>
  <si>
    <t>baseline/pre-v014-p0</t>
  </si>
  <si>
    <t>Commit da baseline</t>
  </si>
  <si>
    <t>87bb29897f89194f5576c06789a9d46053fe3c80</t>
  </si>
  <si>
    <t>Local recomendado no repositório</t>
  </si>
  <si>
    <t>planning/traceability/MOHID-NG_Traceability_Register.xlsx</t>
  </si>
  <si>
    <t>Finalidade</t>
  </si>
  <si>
    <t>Matriz operacional para rastrear requisitos, decisões/ADRs, alterações, auditoria do código, testes, evidências, casos e releases.</t>
  </si>
  <si>
    <t>Autoridade</t>
  </si>
  <si>
    <t>A planilha organiza a rastreabilidade. Git, ADRs, testes, evidências e documentos científicos continuam sendo as fontes autoritativas de seus respectivos artefatos.</t>
  </si>
  <si>
    <t>Regras operacionais</t>
  </si>
  <si>
    <t>1</t>
  </si>
  <si>
    <t>Toda alteração relevante deve possuir CHG_ID antes do commit.</t>
  </si>
  <si>
    <t>2</t>
  </si>
  <si>
    <t>Toda auditoria de arquivo/componente deve possuir AUD_ID e classificação REUSE, REFACTOR, REPLACE, REMOVE ou INVESTIGATE.</t>
  </si>
  <si>
    <t>3</t>
  </si>
  <si>
    <t>Os IDs REQ-F-xxx e REQ-D-xxx da v0.14 são preservados como identificadores de requisitos nesta baseline.</t>
  </si>
  <si>
    <t>4</t>
  </si>
  <si>
    <t>ADRs formalizados usam ADR-xxxx. Decisões abertas D-OPEN-xx são preservadas até resolução ou substituição por ADR.</t>
  </si>
  <si>
    <t>5</t>
  </si>
  <si>
    <t>Casos próprios do MOHID-NG usam CASE-xxxx; IDs históricos do MOHID, como C03, ficam em campo separado.</t>
  </si>
  <si>
    <t>6</t>
  </si>
  <si>
    <t>Testes internos usam TEST-xxxx quando necessário; gates nomeados existentes, como N0-REPOUSO e GRAD-01, mantêm seu Gate_ID.</t>
  </si>
  <si>
    <t>7</t>
  </si>
  <si>
    <t>Evidências recebem EVID-xxxx quando materializadas. IDs CRIVO são registrados como fornecidos externamente, não inventados pelo MOHID-NG.</t>
  </si>
  <si>
    <t>8</t>
  </si>
  <si>
    <t>Nenhum registro é apagado para 'limpar' histórico; use Status = Superseded/Cancelado quando aplicável.</t>
  </si>
  <si>
    <t>9</t>
  </si>
  <si>
    <t>Antes de um commit, atualizar Change_Register com branch, arquivos, testes, documentação e impacto; após o commit, preencher hash e PR quando existirem.</t>
  </si>
  <si>
    <t>Cadeia mínima de rastreabilidade</t>
  </si>
  <si>
    <t>capacidade/caso → requisito → decisão/ADR → alteração → teste → evidência → avaliação → release</t>
  </si>
  <si>
    <t>Fonte e escopo</t>
  </si>
  <si>
    <t>Estrutura criada para materializar o Item 11 e o Item 16.2/P0 da definição v0.14. A planilha não antecipa detalhes de arquitetura concreta que o documento deixa em aberto; ela registra e conecta as decisões e evidências à medida que forem produzidas.</t>
  </si>
  <si>
    <t>MOHID-NG P0 and Traceability Dashboard</t>
  </si>
  <si>
    <t>Indicador</t>
  </si>
  <si>
    <t>Classificação da auditoria</t>
  </si>
  <si>
    <t>Quantidade</t>
  </si>
  <si>
    <t>Ações P0 totais</t>
  </si>
  <si>
    <t>REUSE</t>
  </si>
  <si>
    <t>P0 concluídas</t>
  </si>
  <si>
    <t>REFACTOR</t>
  </si>
  <si>
    <t>P0 em andamento</t>
  </si>
  <si>
    <t>REPLACE</t>
  </si>
  <si>
    <t>P0 não iniciadas</t>
  </si>
  <si>
    <t>REMOVE</t>
  </si>
  <si>
    <t>Requisitos registados</t>
  </si>
  <si>
    <t>INVESTIGATE</t>
  </si>
  <si>
    <t>Decisões abertas</t>
  </si>
  <si>
    <t>Situação inicial desta planilha</t>
  </si>
  <si>
    <t>P0-01 já está concluído: a baseline foi tagueada como baseline/pre-v014-p0 no commit 87bb29897f89194f5576c06789a9d46053fe3c80. P0-03 está em andamento com a criação desta matriz. A próxima actividade operacional é P0-02, auditoria e classificação do código existente.</t>
  </si>
  <si>
    <t>P0_ID</t>
  </si>
  <si>
    <t>Ação v0.14</t>
  </si>
  <si>
    <t>Fonte</t>
  </si>
  <si>
    <t>Status</t>
  </si>
  <si>
    <t>Prioridade</t>
  </si>
  <si>
    <t>Responsável</t>
  </si>
  <si>
    <t>Evidência/artefato</t>
  </si>
  <si>
    <t>Git/PR/Tag</t>
  </si>
  <si>
    <t>Data alvo</t>
  </si>
  <si>
    <t>Data conclusão</t>
  </si>
  <si>
    <t>Observações</t>
  </si>
  <si>
    <t>P0-01</t>
  </si>
  <si>
    <t>Preservar e taguear a baseline do repositório existente antes de reestruturações substanciais.</t>
  </si>
  <si>
    <t>v0.14 §16.2 item 1</t>
  </si>
  <si>
    <t>Concluído</t>
  </si>
  <si>
    <t>P0</t>
  </si>
  <si>
    <t>João Flávio Vasconcellos</t>
  </si>
  <si>
    <t>Tag baseline/pre-v014-p0</t>
  </si>
  <si>
    <t>Concluído nesta sessão.</t>
  </si>
  <si>
    <t>P0-02</t>
  </si>
  <si>
    <t>Auditar e classificar o código existente em REUSE, REFACTOR, REPLACE, REMOVE ou INVESTIGATE, preservando evidências.</t>
  </si>
  <si>
    <t>v0.14 §16.2 item 2</t>
  </si>
  <si>
    <t>Não iniciado</t>
  </si>
  <si>
    <t>04_Repository_Audit</t>
  </si>
  <si>
    <t>Próxima actividade operacional.</t>
  </si>
  <si>
    <t>P0-03</t>
  </si>
  <si>
    <t>Implantar infraestrutura mínima de rastreabilidade com IDs, registros estruturados, templates e integração com a planilha/matriz de acompanhamento.</t>
  </si>
  <si>
    <t>v0.14 §16.2 item 3</t>
  </si>
  <si>
    <t>Em andamento</t>
  </si>
  <si>
    <t>MOHID-NG_Traceability_Register.xlsx</t>
  </si>
  <si>
    <t>Esta planilha materializa a matriz; registros e templates serão refinados conforme uso.</t>
  </si>
  <si>
    <t>P0-04</t>
  </si>
  <si>
    <t>Formalizar ADRs das decisões estruturais maduras, inclusive FV, Voronoi, fronteiras externas e extensibilidade numérica aberta.</t>
  </si>
  <si>
    <t>v0.14 §16.2 item 4</t>
  </si>
  <si>
    <t>06_Decisions_ADRs</t>
  </si>
  <si>
    <t>P0-05</t>
  </si>
  <si>
    <t>Definir contratos conceituais mínimos de malha, campo, estado, política numérica, ComponentSystem e plugin/capability metadata, sem antecipar implementação detalhada.</t>
  </si>
  <si>
    <t>v0.14 §16.2 item 5</t>
  </si>
  <si>
    <t>P0-06</t>
  </si>
  <si>
    <t>Garantir que o contrato de malha e os operadores FV não codifiquem conectividade estática ou velocidade de malha nula como premissas irreversíveis, ainda que a primeira implementação seja fixa.</t>
  </si>
  <si>
    <t>v0.14 §16.2 item 6</t>
  </si>
  <si>
    <t>P0-07</t>
  </si>
  <si>
    <t>Registrar a fronteira conceitual para movimento, retesselação, CVT e remapeamento conservativo entre MOHID-NG e VoronoiMeshMaker.</t>
  </si>
  <si>
    <t>v0.14 §16.2 item 7</t>
  </si>
  <si>
    <t>P0-08</t>
  </si>
  <si>
    <t>Adotar o padrão normativo do Apêndice C antes da expansão substancial do código e materializá-lo em configuração de ferramentas, incluindo .clang-format, .clang-tidy e verificações automáticas aplicáveis no CI.</t>
  </si>
  <si>
    <t>v0.14 §16.2 item 8</t>
  </si>
  <si>
    <t>.clang-format; .clang-tidy; CI</t>
  </si>
  <si>
    <t>Arquivos já existem; devem ser auditados antes de alterações.</t>
  </si>
  <si>
    <t>P0-09</t>
  </si>
  <si>
    <t>Definir a primeira linha verificável 2D e os gates que precedem o primeiro caso científico.</t>
  </si>
  <si>
    <t>v0.14 §16.2 item 9</t>
  </si>
  <si>
    <t>07_Tests</t>
  </si>
  <si>
    <t>P0-10</t>
  </si>
  <si>
    <t>Registrar explicitamente as decisões ainda abertas que podem afetar a arquitetura concreta.</t>
  </si>
  <si>
    <t>v0.14 §16.2 item 10</t>
  </si>
  <si>
    <t>D-OPEN-01 a D-OPEN-16 já pré-carregadas.</t>
  </si>
  <si>
    <t>P0-11</t>
  </si>
  <si>
    <t>Congelar a árvore inicial de implementação sem criar novos módulos científicos de primeiro nível: preservar Core, Mesh, Fields, IO, Numerics, Physics, Lagrangian e LinearAlgebra, adicionando apenas os arquivos mínimos descritos no Apêndice D; cmake/ é a exceção por ser infraestrutura de build.</t>
  </si>
  <si>
    <t>v0.14 §16.2 item 11</t>
  </si>
  <si>
    <t>P0-12</t>
  </si>
  <si>
    <t>Definir antes dos kernels físicos o contrato MeshRanges/MeshGeneration: entity ranges, adjacency ranges, boundary/patch ranges, field spans, stencil ranges e semântica de geração/invalidação.</t>
  </si>
  <si>
    <t>v0.14 §16.2 item 12</t>
  </si>
  <si>
    <t>P0-13</t>
  </si>
  <si>
    <t>Materializar a infraestrutura mínima de extensibilidade e estado com Registry/Traits, ComponentSystem/PhysicalState, Reconstruction, DiffusiveFlux, SourceTerms e RunManifest, sem antecipar implementações científicas não selecionadas.</t>
  </si>
  <si>
    <t>v0.14 §16.2 item 13</t>
  </si>
  <si>
    <t>P0-14</t>
  </si>
  <si>
    <t>Reorganizar o build para CMake target-based: CMakeLists.txt raiz enxuto, cmake/ subdividido por projeto/dependências/testes/empacotamento e CMakeLists.txt locais limitados à declaração de targets e subdiretórios.</t>
  </si>
  <si>
    <t>v0.14 §16.2 item 14</t>
  </si>
  <si>
    <t>CMakeLists.txt; cmake/</t>
  </si>
  <si>
    <t>CHG_ID</t>
  </si>
  <si>
    <t>Data</t>
  </si>
  <si>
    <t>Título</t>
  </si>
  <si>
    <t>Categoria</t>
  </si>
  <si>
    <t>Fonte/Justificativa</t>
  </si>
  <si>
    <t>REQ_IDs</t>
  </si>
  <si>
    <t>ADR_IDs</t>
  </si>
  <si>
    <t>Arquivos/paths</t>
  </si>
  <si>
    <t>Resumo da alteração</t>
  </si>
  <si>
    <t>Razão</t>
  </si>
  <si>
    <t>Testes/Gates</t>
  </si>
  <si>
    <t>EVID_IDs</t>
  </si>
  <si>
    <t>Branch</t>
  </si>
  <si>
    <t>Commit</t>
  </si>
  <si>
    <t>PR</t>
  </si>
  <si>
    <t>Release</t>
  </si>
  <si>
    <t>Impacto científico</t>
  </si>
  <si>
    <t>Impacto numérico</t>
  </si>
  <si>
    <t>Impacto API/ABI</t>
  </si>
  <si>
    <t>Documentação atualizada</t>
  </si>
  <si>
    <t>Compatibilidade/risco</t>
  </si>
  <si>
    <t>CHG-0001</t>
  </si>
  <si>
    <t>Criar matriz de rastreabilidade e gestão de mudanças</t>
  </si>
  <si>
    <t>Processo/engenharia</t>
  </si>
  <si>
    <t>Implementado, pendente Git</t>
  </si>
  <si>
    <t>v0.14 §11 e §16.2/P0-03</t>
  </si>
  <si>
    <t>Criação da planilha integrada para P0, auditoria, requisitos, decisões, testes, evidências, casos e releases.</t>
  </si>
  <si>
    <t>Materializar a infraestrutura mínima de rastreabilidade antes de mudanças substanciais no código.</t>
  </si>
  <si>
    <t>Verificação estrutural da planilha; revisão visual; consistência de IDs e referências</t>
  </si>
  <si>
    <t>Nenhum</t>
  </si>
  <si>
    <t>00_README e todas as abas da planilha</t>
  </si>
  <si>
    <t>Baixo; artefato de engenharia e rastreabilidade</t>
  </si>
  <si>
    <t>Preencher Branch/Commit/PR após atualização do Git.</t>
  </si>
  <si>
    <t>AUD_ID</t>
  </si>
  <si>
    <t>Path</t>
  </si>
  <si>
    <t>Tipo</t>
  </si>
  <si>
    <t>Módulo</t>
  </si>
  <si>
    <t>Responsabilidade atual</t>
  </si>
  <si>
    <t>Classificação</t>
  </si>
  <si>
    <t>Justificativa</t>
  </si>
  <si>
    <t>Evidência</t>
  </si>
  <si>
    <t>CHG_IDs</t>
  </si>
  <si>
    <t>Última revisão</t>
  </si>
  <si>
    <t>AUD-0001</t>
  </si>
  <si>
    <t>docs/developer/startup_plan.md</t>
  </si>
  <si>
    <t>Documento</t>
  </si>
  <si>
    <t>Documentação</t>
  </si>
  <si>
    <t>Plano histórico de blocos 0-3</t>
  </si>
  <si>
    <t>O conteúdo antecede a v0.14 e inclui decisões potencialmente incompatíveis com a baseline atual; requer auditoria antes de uso.</t>
  </si>
  <si>
    <t>Conteúdo atual do arquivo no commit baseline</t>
  </si>
  <si>
    <t>CHG-0002</t>
  </si>
  <si>
    <t>Em análise</t>
  </si>
  <si>
    <t>Não editar ainda; confrontar com v0.14.</t>
  </si>
  <si>
    <t>REQ_ID</t>
  </si>
  <si>
    <t>Texto normativo</t>
  </si>
  <si>
    <t>Estado v0.14</t>
  </si>
  <si>
    <t>TEST/Gate_IDs</t>
  </si>
  <si>
    <t>Status implementação</t>
  </si>
  <si>
    <t>REQ-F-001</t>
  </si>
  <si>
    <t>Funcional</t>
  </si>
  <si>
    <t>Carregamento de malha externa</t>
  </si>
  <si>
    <t>O sistema deve carregar uma malha fornecida externamente e validar os invariantes necessários para uma execução segura.</t>
  </si>
  <si>
    <t>Consolidado</t>
  </si>
  <si>
    <t>v0.14 §4</t>
  </si>
  <si>
    <t>REQ-F-002</t>
  </si>
  <si>
    <t>Acesso a topologia e geometria</t>
  </si>
  <si>
    <t>Operadores e modelos devem acessar conectividade e métricas por interfaces que não dependam da implementação interna do gerador de malhas.</t>
  </si>
  <si>
    <t>REQ-F-003</t>
  </si>
  <si>
    <t>Campos localizados</t>
  </si>
  <si>
    <t>Campos devem declarar sua localização espacial de forma explícita e verificável.</t>
  </si>
  <si>
    <t>REQ-F-004</t>
  </si>
  <si>
    <t>Configuração do modelo físico</t>
  </si>
  <si>
    <t>Casos devem selecionar modelos, parâmetros, fontes e forçamentos sem modificar o núcleo.</t>
  </si>
  <si>
    <t>REQ-F-005</t>
  </si>
  <si>
    <t>Condições iniciais</t>
  </si>
  <si>
    <t>Cada campo deve poder receber estado inicial por configuração, dados externos ou função apropriada.</t>
  </si>
  <si>
    <t>REQ-F-006</t>
  </si>
  <si>
    <t>Condições de contorno</t>
  </si>
  <si>
    <t>Condições de contorno devem atuar sobre faces reais da fronteira, sem células fictícias para representar a fronteira física.</t>
  </si>
  <si>
    <t>REQ-F-007</t>
  </si>
  <si>
    <t>Operadores FV</t>
  </si>
  <si>
    <t>O núcleo deve fornecer os operadores discretos necessários para balanços integrais em Volumes Finitos.</t>
  </si>
  <si>
    <t>REQ-F-008</t>
  </si>
  <si>
    <t>Fluxo interno conservativo</t>
  </si>
  <si>
    <t>Uma face interna deve produzir fluxo físico único e contribuições opostas para células adjacentes quando a grandeza for conservativa.</t>
  </si>
  <si>
    <t>REQ-F-009</t>
  </si>
  <si>
    <t>Fontes e sumidouros</t>
  </si>
  <si>
    <t>Termos fonte e sumidouro devem preservar unidades, localização, sinal e proveniência.</t>
  </si>
  <si>
    <t>REQ-F-010</t>
  </si>
  <si>
    <t>Evolução temporal</t>
  </si>
  <si>
    <t>Problemas transientes devem avançar o estado por uma infraestrutura que represente instante, passo de tempo, histórico e estágios exigidos pelo integrador escolhido.</t>
  </si>
  <si>
    <t>REQ-F-011</t>
  </si>
  <si>
    <t>Integrador temporal substituível</t>
  </si>
  <si>
    <t>O método temporal deve ser selecionável entre implementações registradas e novas implementações devem poder ser adicionadas sem alterar modelos físicos existentes.</t>
  </si>
  <si>
    <t>REQ-F-012</t>
  </si>
  <si>
    <t>Advecção configurável</t>
  </si>
  <si>
    <t>A discretização advectiva deve ser uma política numérica explícita, separada do modelo físico e do integrador temporal.</t>
  </si>
  <si>
    <t>REQ-F-013</t>
  </si>
  <si>
    <t>Reconstrução e limitadores</t>
  </si>
  <si>
    <t>Reconstrução em faces e limitadores, quando necessários, devem ser componentes configuráveis e verificáveis, sem conjunto fechado imposto pelo núcleo.</t>
  </si>
  <si>
    <t>REQ-F-014</t>
  </si>
  <si>
    <t>Difusão e dispersão configuráveis</t>
  </si>
  <si>
    <t>A infraestrutura deve permitir diferentes modelos de difusão/dispersão, inclusive futuras formulações acopladas entre componentes.</t>
  </si>
  <si>
    <t>REQ-F-015</t>
  </si>
  <si>
    <t>Sistema multicomponente aberto</t>
  </si>
  <si>
    <t>O sistema deve registrar N componentes em runtime, sem enumeração fechada que limite futuras propriedades ou espécies.</t>
  </si>
  <si>
    <t>REQ-F-016</t>
  </si>
  <si>
    <t>Processos multicomponentes</t>
  </si>
  <si>
    <t>Modelos de reação, transformação ou fonte devem poder receber e alterar conjuntos de componentes de forma acoplada quando cientificamente necessário.</t>
  </si>
  <si>
    <t>REQ-F-017</t>
  </si>
  <si>
    <t>Estratégia de acoplamento substituível</t>
  </si>
  <si>
    <t>A estratégia usada para combinar transporte, reação, difusão e outros subsistemas não deve ser fixa no núcleo. Uma única estratégia pode ser implementada inicialmente.</t>
  </si>
  <si>
    <t>REQ-F-018</t>
  </si>
  <si>
    <t>Descoberta e criação de extensões</t>
  </si>
  <si>
    <t>Métodos registrados devem ser descobertos e criados por mecanismos de registry/factory, inclusive a partir de plugins externos compatíveis.</t>
  </si>
  <si>
    <t>REQ-F-019</t>
  </si>
  <si>
    <t>Metadados de capacidades</t>
  </si>
  <si>
    <t>Implementações extensíveis devem declarar capacidades relevantes, como dimensionalidade, conservação, boundedness, ordem, necessidade de stencil, compatibilidade com malhas e restrições de uso.</t>
  </si>
  <si>
    <t>REQ-F-020</t>
  </si>
  <si>
    <t>Solução algébrica</t>
  </si>
  <si>
    <t>Sistemas lineares e não lineares devem poder ser delegados a backends especializados, prioritariamente PETSc, sem contaminar o modelo físico com detalhes do solver.</t>
  </si>
  <si>
    <t>REQ-F-021</t>
  </si>
  <si>
    <t>Configuração declarativa</t>
  </si>
  <si>
    <t>Casos científicos devem ser configuráveis sem modificar kernels físicos, incluindo opções numéricas suportadas.</t>
  </si>
  <si>
    <t>REQ-F-022</t>
  </si>
  <si>
    <t>Diagnósticos</t>
  </si>
  <si>
    <t>O sistema deve produzir diagnósticos de conservação, convergência, estabilidade, falha e grandezas científicas relevantes.</t>
  </si>
  <si>
    <t>REQ-F-023</t>
  </si>
  <si>
    <t>Saída científica canónica</t>
  </si>
  <si>
    <t>Quando aplicável, resultados devem ser exportáveis em netCDF-CF/UGRID, com VTK e HDF5 como formatos complementares conforme a finalidade.</t>
  </si>
  <si>
    <t>REQ-F-024</t>
  </si>
  <si>
    <t>Testes automatizados</t>
  </si>
  <si>
    <t>Componentes do núcleo devem ser exercitáveis por GTest em testes unitários, de integração, invariantes e regressões numéricas.</t>
  </si>
  <si>
    <t>REQ-F-025</t>
  </si>
  <si>
    <t>Integração com CRIVO</t>
  </si>
  <si>
    <t>O MOHID-NG deve produzir artefatos suficientes para avaliação independente pelo CRIVO sem depender dele para executar.</t>
  </si>
  <si>
    <t>REQ-F-026</t>
  </si>
  <si>
    <t>Falha explícita</t>
  </si>
  <si>
    <t>Configurações incompatíveis, falhas de solver, estados inválidos e violações de contrato devem produzir erro inequívoco, não resultados silenciosamente inválidos.</t>
  </si>
  <si>
    <t>REQ-F-027</t>
  </si>
  <si>
    <t>Pipeline do primeiro caso 2D</t>
  </si>
  <si>
    <t>A infraestrutura mínima da versão 1.0 deve executar integralmente o primeiro caso científico 2D escolhido e aprovado.</t>
  </si>
  <si>
    <t>REQ-F-028</t>
  </si>
  <si>
    <t>Superfície livre e wetting/drying</t>
  </si>
  <si>
    <t>O sistema deve representar problemas com superfície livre variável e, quando exigido pelo caso, transições wet/dry sem depender de uma única formulação histórica.</t>
  </si>
  <si>
    <t>REQ-F-029</t>
  </si>
  <si>
    <t>Malha dinâmica</t>
  </si>
  <si>
    <t>A infraestrutura deve admitir que geometria, volumes, áreas, normais e conectividade possam evoluir no tempo por um contrato explícito, mesmo que a primeira implementação utilize malha fixa.</t>
  </si>
  <si>
    <t>REQ-F-030</t>
  </si>
  <si>
    <t>Movimento de malha selecionável</t>
  </si>
  <si>
    <t>Estratégias de movimento devem ser políticas substituíveis. A arquitetura deve preservar alternativas como movimento prescrito, ALE, quase-Lagrangiano e moving Voronoi sem enumerá-las de forma fechada.</t>
  </si>
  <si>
    <t>REQ-F-031</t>
  </si>
  <si>
    <t>Retesselação e regularização</t>
  </si>
  <si>
    <t>O sistema deve poder solicitar e consumir uma nova tesselação quando a política de qualidade ou adaptação assim determinar, incluindo regularização por CVT/Lloyd ou variantes compatíveis.</t>
  </si>
  <si>
    <t>REQ-F-032</t>
  </si>
  <si>
    <t>Transferência conservativa entre malhas</t>
  </si>
  <si>
    <t>Quando uma alteração de geometria/topologia exigir transferência de estado, grandezas conservadas e componentes transportados devem ser remapeados por procedimento explicitamente conservativo e verificável.</t>
  </si>
  <si>
    <t>REQ-F-033</t>
  </si>
  <si>
    <t>Histórico geométrico</t>
  </si>
  <si>
    <t>A execução deve registrar identidade e evolução das malhas, movimento dos geradores quando aplicável, retesselações, mapeamentos e parâmetros necessários à reprodução do cálculo.</t>
  </si>
  <si>
    <t>REQ-F-034</t>
  </si>
  <si>
    <t>Reconstrução de gradientes via VoroGradToolkit</t>
  </si>
  <si>
    <t>O cálculo de gradientes em malhas Voronoi não estruturadas deve ser realizado por meio do VoroGradToolkit, consumido por contrato pelo MOHID-NG. O método concreto de reconstrução deve permanecer selecionável entre as capacidades disponibilizadas pela biblioteca, sem ser codificado como propriedade do modelo físico.</t>
  </si>
  <si>
    <t>REQ-F-035</t>
  </si>
  <si>
    <t>Travessia tipada de malha</t>
  </si>
  <si>
    <t>O sistema deve expor ranges/views tipados para percorrer células, faces, vértices, patches e relações de adjacência sem exigir que operadores conheçam o layout de armazenamento. A API deve distinguir, quando pertinente, conjuntos internos e de contorno e permitir evolução futura para subconjuntos owned/halo, wet/dry e malha dinâmica sem reescrever os kernels científicos.</t>
  </si>
  <si>
    <t>REQ-D-001</t>
  </si>
  <si>
    <t>Domínio/Científico</t>
  </si>
  <si>
    <t>Discretização espacial por Volumes Finitos</t>
  </si>
  <si>
    <t>A discretização espacial das equações diferenciais será exclusivamente pelo Método dos Volumes Finitos, salvo reavaliação explícita futura.</t>
  </si>
  <si>
    <t>v0.14 §5</t>
  </si>
  <si>
    <t>REQ-D-002</t>
  </si>
  <si>
    <t>Malhas Voronoi</t>
  </si>
  <si>
    <t>Os domínios 2D e 3D serão representados por malhas Voronoi fornecidas externamente.</t>
  </si>
  <si>
    <t>REQ-D-003</t>
  </si>
  <si>
    <t>Geração de malha fora do núcleo</t>
  </si>
  <si>
    <t>Geração, tesselação e preparação geométrica pertencem ao VoronoiMeshMaker. O MOHID-NG consome o resultado por contrato.</t>
  </si>
  <si>
    <t>REQ-D-004</t>
  </si>
  <si>
    <t>IDs e rastreabilidade da malha</t>
  </si>
  <si>
    <t>IDs estáveis fornecidos no pacote de malha não devem ser alterados silenciosamente. Mapeamentos internos devem ser recuperáveis.</t>
  </si>
  <si>
    <t>REQ-D-005</t>
  </si>
  <si>
    <t>Sem ghost cells físicas</t>
  </si>
  <si>
    <t>Fronteiras físicas não serão representadas por células fictícias. Condições de contorno atuam sobre faces reais.</t>
  </si>
  <si>
    <t>REQ-D-006</t>
  </si>
  <si>
    <t>Conservação local</t>
  </si>
  <si>
    <t>Grandezas conservadas devem ser formuladas por balanços de volume e fluxos de face com cancelamento interno consistente.</t>
  </si>
  <si>
    <t>REQ-D-007</t>
  </si>
  <si>
    <t>Advecção face-based</t>
  </si>
  <si>
    <t>A advecção deve ser formulada conservativamente por fluxos nas faces da malha, sem herdar decomposição direcional do MOHID clássico como premissa arquitetural.</t>
  </si>
  <si>
    <t>REQ-D-008</t>
  </si>
  <si>
    <t>Flexibilidade temporal</t>
  </si>
  <si>
    <t>O núcleo não fixa ADI, Runge-Kutta, BDF, IMEX ou outra família como única forma de evolução temporal. O método inicial é uma implementação de referência, não uma limitação.</t>
  </si>
  <si>
    <t>REQ-D-009</t>
  </si>
  <si>
    <t>Flexibilidade advectiva</t>
  </si>
  <si>
    <t>Upwind, TVD, MUSCL e outros esquemas são exemplos de alternativas possíveis, não uma enumeração definitiva.</t>
  </si>
  <si>
    <t>REQ-D-010</t>
  </si>
  <si>
    <t>Boundedness, positividade e monotonicidade</t>
  </si>
  <si>
    <t>Essas propriedades devem ser exigidas quando forem necessárias ao modelo ou ao método e devem possuir testes específicos.</t>
  </si>
  <si>
    <t>REQ-D-011</t>
  </si>
  <si>
    <t>Multicomponentes no núcleo</t>
  </si>
  <si>
    <t>A infraestrutura de componentes é parte do núcleo científico, mesmo quando a primeira aplicação utilizar poucos componentes.</t>
  </si>
  <si>
    <t>REQ-D-012</t>
  </si>
  <si>
    <t>Acoplamento não fechado</t>
  </si>
  <si>
    <t>Transporte segregado, splitting, iteração sequencial, blocos e formulações monolíticas são estratégias possíveis. A arquitetura não deve bloquear alternativas futuras.</t>
  </si>
  <si>
    <t>REQ-D-013</t>
  </si>
  <si>
    <t>Equação de estado orientada ao caso</t>
  </si>
  <si>
    <t>Somente equações de estado exigidas por capacidades científicas suportadas devem ser implementadas. Modelos de gás real não pertencem ao escopo atual.</t>
  </si>
  <si>
    <t>REQ-D-014</t>
  </si>
  <si>
    <t>Sistema Internacional</t>
  </si>
  <si>
    <t>SI é a referência interna para grandezas físicas, com conversões explícitas e rastreáveis quando entradas externas exigirem outras unidades.</t>
  </si>
  <si>
    <t>REQ-D-015</t>
  </si>
  <si>
    <t>Evolução científica controlada</t>
  </si>
  <si>
    <t>Novos modelos podem ser incorporados sem reabrir decisões fundamentais de FV e Voronoi, salvo decisão arquitetural explícita.</t>
  </si>
  <si>
    <t>REQ-D-016</t>
  </si>
  <si>
    <t>Escoamento com superfície livre</t>
  </si>
  <si>
    <t>O MOHID-NG deve suportar a evolução de uma superfície livre como capacidade científica fundamental de hidrodinâmica, incluindo conservação de volume e acoplamento com as equações do escoamento.</t>
  </si>
  <si>
    <t>REQ-D-017</t>
  </si>
  <si>
    <t>Wetting/drying</t>
  </si>
  <si>
    <t>Casos que envolvam inundação e secagem devem possuir tratamento explícito de profundidade mínima, ativação de regiões e conservação, com critérios numéricos verificáveis.</t>
  </si>
  <si>
    <t>REQ-D-018</t>
  </si>
  <si>
    <t>Compatibilidade ALE</t>
  </si>
  <si>
    <t>Operadores conservativos não devem assumir velocidade de malha identicamente nula como premissa arquitetural. Formulações futuras devem poder usar velocidade relativa fluido-malha quando cientificamente adotadas.</t>
  </si>
  <si>
    <t>REQ-D-019</t>
  </si>
  <si>
    <t>Conservação geométrica</t>
  </si>
  <si>
    <t>Em malhas móveis, a discretização deve satisfazer uma forma discreta apropriada da Geometric Conservation Law ou condição equivalente que impeça geração artificial de fontes pelo movimento geométrico.</t>
  </si>
  <si>
    <t>REQ-D-020</t>
  </si>
  <si>
    <t>Moving Voronoi e CVT</t>
  </si>
  <si>
    <t>O movimento dos geradores, a reconstrução da tesselação e a regularização por CVT são alternativas admitidas pela arquitetura, não requisitos de implementação imediata.</t>
  </si>
  <si>
    <t>REQ-D-021</t>
  </si>
  <si>
    <t>Qualidade versus física</t>
  </si>
  <si>
    <t>Correções de qualidade da malha devem ser separadas do movimento físico e limitadas por critérios explícitos para evitar que a regularização introduza alteração física não controlada.</t>
  </si>
  <si>
    <t>REQ-D-022</t>
  </si>
  <si>
    <t>Topologia mutável</t>
  </si>
  <si>
    <t>Operadores e estruturas de dados não devem depender de conectividade imutável durante toda a execução quando a capacidade de retesselação estiver ativa.</t>
  </si>
  <si>
    <t>REQ-D-023</t>
  </si>
  <si>
    <t>Gradientes em malha não estruturada</t>
  </si>
  <si>
    <t>O VoroGradToolkit é a implementação de referência para reconstrução de gradientes. O núcleo do MOHID-NG não deve duplicar esses algoritmos; novas formulações e extensões dimensionais devem ser validadas na biblioteca e integradas por contrato.</t>
  </si>
  <si>
    <t>REQ-D-024</t>
  </si>
  <si>
    <t>Semântica de ranges, stencils e invalidação</t>
  </si>
  <si>
    <t>Loops numéricos devem preferir IDs fortemente tipados e views/spans leves a objetos de entidade pesados. Ranges, stencils e caches dependentes de topologia devem ter semântica explícita de validade; quando a topologia for alterada, uma geração/epoch de malha deve permitir detectar e reconstruir dados derivados obsoletos.</t>
  </si>
  <si>
    <t>Record_ID</t>
  </si>
  <si>
    <t>Decisão/Título</t>
  </si>
  <si>
    <t>ADR_file</t>
  </si>
  <si>
    <t>Supersedes</t>
  </si>
  <si>
    <t>Racional/Evidência</t>
  </si>
  <si>
    <t>Data decisão</t>
  </si>
  <si>
    <t>D-OPEN-01</t>
  </si>
  <si>
    <t>Decisão aberta</t>
  </si>
  <si>
    <t>Integrador temporal de referência da primeira linha 2D.</t>
  </si>
  <si>
    <t>Em aberto</t>
  </si>
  <si>
    <t>v0.14 §12.2</t>
  </si>
  <si>
    <t>D-OPEN-02</t>
  </si>
  <si>
    <t>Esquema advectivo de referência e limitador inicial.</t>
  </si>
  <si>
    <t>D-OPEN-03</t>
  </si>
  <si>
    <t>Modelo inicial de difusão/dispersão.</t>
  </si>
  <si>
    <t>D-OPEN-04</t>
  </si>
  <si>
    <t>Estratégia inicial de acoplamento multicomponente.</t>
  </si>
  <si>
    <t>D-OPEN-05</t>
  </si>
  <si>
    <t>Equação de estado de água do mar de referência e política de compatibilidade com formulações legadas.</t>
  </si>
  <si>
    <t>D-OPEN-06</t>
  </si>
  <si>
    <t>Forma concreta e versionamento da Plugin API/ABI.</t>
  </si>
  <si>
    <t>D-OPEN-07</t>
  </si>
  <si>
    <t>Formato final de configuração declarativa.</t>
  </si>
  <si>
    <t>D-OPEN-08</t>
  </si>
  <si>
    <t>Primeiro caso científico 2D da release 1.0.</t>
  </si>
  <si>
    <t>D-OPEN-09</t>
  </si>
  <si>
    <t>Ordem definitiva dos casos dentro de cada patamar geométrico.</t>
  </si>
  <si>
    <t>D-OPEN-10</t>
  </si>
  <si>
    <t>Política de checkpoint/restart e persistência de grandes estados.</t>
  </si>
  <si>
    <t>D-OPEN-11</t>
  </si>
  <si>
    <t>Licença open source específica.</t>
  </si>
  <si>
    <t>D-OPEN-12</t>
  </si>
  <si>
    <t>Modelo institucional de governança pós-1.0.</t>
  </si>
  <si>
    <t>D-OPEN-13</t>
  </si>
  <si>
    <t>Estratégia inicial de superfície livre/wet-dry para os primeiros casos hidrodinâmicos.</t>
  </si>
  <si>
    <t>D-OPEN-14</t>
  </si>
  <si>
    <t>Primeira política de movimento de malha a implementar, se/quando essa capacidade entrar no roadmap executável.</t>
  </si>
  <si>
    <t>D-OPEN-15</t>
  </si>
  <si>
    <t>Métricas e gatilhos de qualidade para retesselação/regularização CVT.</t>
  </si>
  <si>
    <t>D-OPEN-16</t>
  </si>
  <si>
    <t>Algoritmo e contrato de remapeamento conservativo entre estados de malha.</t>
  </si>
  <si>
    <t>Candidato a ADR</t>
  </si>
  <si>
    <t>C++20 ou posterior e CMake como base de implementação.</t>
  </si>
  <si>
    <t>Madura para formalização</t>
  </si>
  <si>
    <t>v0.14 §12.1</t>
  </si>
  <si>
    <t>Atribuir ADR-xxxx ao formalizar.</t>
  </si>
  <si>
    <t>Volumes Finitos e malhas Voronoi como restrições estruturais.</t>
  </si>
  <si>
    <t>VoronoiMeshMaker e CRIVO como projetos independentes.</t>
  </si>
  <si>
    <t>Fronteiras físicas em faces reais, sem ghost cells como representação do contorno.</t>
  </si>
  <si>
    <t>PETSc como backend prioritário de solvers e paralelismo associado.</t>
  </si>
  <si>
    <t>Concepts + Traits + Registry/Factory + Plugin API como diretriz de extensibilidade numérica aberta.</t>
  </si>
  <si>
    <t>ComponentSystem aberto como infraestrutura do núcleo.</t>
  </si>
  <si>
    <t>Roadmap por maturidade geométrica: 2D → 3D por camadas → 3D genérico.</t>
  </si>
  <si>
    <t>Compatibilidade arquitetural com malha móvel, retesselação e CVT sem torná-las requisitos da v1.0.</t>
  </si>
  <si>
    <t>Separação de responsabilidades: MNG decide a política física/numérica e conserva o estado; VMM executa tesselação/retesselação geométrica.</t>
  </si>
  <si>
    <t>Gate_ID</t>
  </si>
  <si>
    <t>Objetivo v0.14</t>
  </si>
  <si>
    <t>Executável/Path</t>
  </si>
  <si>
    <t>Último resultado</t>
  </si>
  <si>
    <t>Última execução</t>
  </si>
  <si>
    <t>GRAD-01</t>
  </si>
  <si>
    <t>Gate numérico</t>
  </si>
  <si>
    <t>Reconstrução de gradientes em campos analíticos/manufaturados deve reproduzir a precisão esperada do método selecionado no VoroGradToolkit e registrar versão/commit, operador e configuração utilizados.</t>
  </si>
  <si>
    <t>N0-REPOUSO</t>
  </si>
  <si>
    <t>Equilíbrio hidrostático/estado estacionário sem geração espúria de movimento.</t>
  </si>
  <si>
    <t>N1-ONDA</t>
  </si>
  <si>
    <t>Propagação transiente, integração temporal, dispersão, conservação e erro de fase.</t>
  </si>
  <si>
    <t>N1-THACKER</t>
  </si>
  <si>
    <t>Movimento de superfície livre e comportamento wet/dry quando aplicável.</t>
  </si>
  <si>
    <t>ADV-01</t>
  </si>
  <si>
    <t>Advecção de perfil conhecido em malha Voronoi, com erro, conservação, boundedness e sensibilidade a Courant.</t>
  </si>
  <si>
    <t>DIFF-01</t>
  </si>
  <si>
    <t>Difusão pura com solução analítica ou manufaturada.</t>
  </si>
  <si>
    <t>MC-01</t>
  </si>
  <si>
    <t>Transporte de dois componentes independentes para verificar ausência de contaminação cruzada.</t>
  </si>
  <si>
    <t>MC-02</t>
  </si>
  <si>
    <t>Processo local acoplado com solução de referência para verificar acoplamento e subcycling.</t>
  </si>
  <si>
    <t>PLUGIN-01</t>
  </si>
  <si>
    <t>Gate de conformidade</t>
  </si>
  <si>
    <t>Teste de conformidade de plugin, metadados, falha de versão e equivalência com implementação interna de referência quando aplicável.</t>
  </si>
  <si>
    <t>FREE-01</t>
  </si>
  <si>
    <t>Conservação de volume e precisão da superfície livre em caso analítico/manufaturado, incluindo wet/dry quando aplicável.</t>
  </si>
  <si>
    <t>GCL-01</t>
  </si>
  <si>
    <t>Preservação de estado uniforme sob movimento prescrito da malha e verificação da lei geométrica discreta aplicável.</t>
  </si>
  <si>
    <t>REMESH-01</t>
  </si>
  <si>
    <t>Retesselação com mudança de conectividade e remapeamento conservativo de massa, momento e componentes.</t>
  </si>
  <si>
    <t>CVT-01</t>
  </si>
  <si>
    <t>Regularização por CVT/Lloyd melhora a métrica geométrica escolhida sem alterar um estado físico uniforme além da tolerância.</t>
  </si>
  <si>
    <t>EVID_ID</t>
  </si>
  <si>
    <t>Descrição</t>
  </si>
  <si>
    <t>Arquivo/Path/URL</t>
  </si>
  <si>
    <t>Produzido por</t>
  </si>
  <si>
    <t>Gate/Test_IDs</t>
  </si>
  <si>
    <t>CASE_IDs</t>
  </si>
  <si>
    <t>CRIVO_ID</t>
  </si>
  <si>
    <t>Checksum/Hash</t>
  </si>
  <si>
    <t>Roadmap_ID</t>
  </si>
  <si>
    <t>Patamar</t>
  </si>
  <si>
    <t>Caso/Corpus candidato</t>
  </si>
  <si>
    <t>Source_CASE_ID</t>
  </si>
  <si>
    <t>Capacidade dominante</t>
  </si>
  <si>
    <t>CASE_ID interno</t>
  </si>
  <si>
    <t>Gate_IDs</t>
  </si>
  <si>
    <t>A0</t>
  </si>
  <si>
    <t>2D</t>
  </si>
  <si>
    <t>N0-REPOUSO, N1-ONDA, N1-THACKER, ADV-01, DIFF-01</t>
  </si>
  <si>
    <t>Verificação controlada do núcleo 2D.</t>
  </si>
  <si>
    <t>Planeado</t>
  </si>
  <si>
    <t>A1</t>
  </si>
  <si>
    <t>MOHID Water Quick Start, simulação 1</t>
  </si>
  <si>
    <t>Smoke/regressão hidrodinâmica 2D.</t>
  </si>
  <si>
    <t>A2</t>
  </si>
  <si>
    <t>C03, Río de la Plata</t>
  </si>
  <si>
    <t>C03</t>
  </si>
  <si>
    <t>Hidrodinâmica 2D e níveis d'água com dados observacionais.</t>
  </si>
  <si>
    <t>A3</t>
  </si>
  <si>
    <t>C10, tsunami/inundação, se selecionado</t>
  </si>
  <si>
    <t>C10</t>
  </si>
  <si>
    <t>Propagação de onda e wet/dry com complexidade adicional.</t>
  </si>
  <si>
    <t>A4</t>
  </si>
  <si>
    <t>C09/C11</t>
  </si>
  <si>
    <t>C09; C11</t>
  </si>
  <si>
    <t>Transporte de salinidade e acoplamentos 2D.</t>
  </si>
  <si>
    <t>A5</t>
  </si>
  <si>
    <t>C07/C18</t>
  </si>
  <si>
    <t>C07; C18</t>
  </si>
  <si>
    <t>Lagrangiano sobre hidrodinâmica madura.</t>
  </si>
  <si>
    <t>A6</t>
  </si>
  <si>
    <t>C13/C14/C15</t>
  </si>
  <si>
    <t>C13; C14; C15</t>
  </si>
  <si>
    <t>Multicomponentes, qualidade da água, ecologia e processos reativos 2D.</t>
  </si>
  <si>
    <t>A7</t>
  </si>
  <si>
    <t>Benchmarks 2D de malha móvel/Voronoi/CVT, quando priorizados</t>
  </si>
  <si>
    <t>ALE/GCL, movimento de geradores, regularização, retesselação e remapeamento conservativo.</t>
  </si>
  <si>
    <t>B0</t>
  </si>
  <si>
    <t>3D camadas</t>
  </si>
  <si>
    <t>Testes 3D manufaturados por camadas</t>
  </si>
  <si>
    <t>Conservação, gradientes, advecção/difusão e integração temporal 3D.</t>
  </si>
  <si>
    <t>B1</t>
  </si>
  <si>
    <t>C04, Espinheiro Channel</t>
  </si>
  <si>
    <t>C04</t>
  </si>
  <si>
    <t>Primeira validação 3D baroclínica com T/S.</t>
  </si>
  <si>
    <t>B2</t>
  </si>
  <si>
    <t>C05</t>
  </si>
  <si>
    <t>Inicialização e regional ocean modelling.</t>
  </si>
  <si>
    <t>B3</t>
  </si>
  <si>
    <t>C02/C06</t>
  </si>
  <si>
    <t>C02; C06</t>
  </si>
  <si>
    <t>Aplicações 3D locais, nesting e Lagrangiano conforme dependências.</t>
  </si>
  <si>
    <t>B4</t>
  </si>
  <si>
    <t>C16/C17/C19</t>
  </si>
  <si>
    <t>C16; C17; C19</t>
  </si>
  <si>
    <t>Biogeoquímica, budgets e aplicações 3D integradas.</t>
  </si>
  <si>
    <t>C0</t>
  </si>
  <si>
    <t>3D genérico</t>
  </si>
  <si>
    <t>Benchmarks geométricos e numéricos próprios</t>
  </si>
  <si>
    <t>Topologia, geometria, operadores e contornos para Voronoi 3D genérico.</t>
  </si>
  <si>
    <t>Release/Baseline</t>
  </si>
  <si>
    <t>Git tag</t>
  </si>
  <si>
    <t>CHG_IDs incluídos</t>
  </si>
  <si>
    <t>Gates/Testes</t>
  </si>
  <si>
    <t>Evidências</t>
  </si>
  <si>
    <t>CRIVO</t>
  </si>
  <si>
    <t>Critérios</t>
  </si>
  <si>
    <t>pre-v0.14-P0</t>
  </si>
  <si>
    <t>Baseline</t>
  </si>
  <si>
    <t>Preservada</t>
  </si>
  <si>
    <t>Baseline antes do trabalho P0 da v0.14</t>
  </si>
  <si>
    <t>Tag criada e verificada.</t>
  </si>
  <si>
    <t>v1.0</t>
  </si>
  <si>
    <t>Release planejada</t>
  </si>
  <si>
    <t>Planeada</t>
  </si>
  <si>
    <t>Pipeline científico completo; primeiro problema científico 2D integralmente implementado; GTest e gates pertinentes aprovados; evidências de V&amp;V disponíveis; aprovação CRIVO; tag/release inequívoca.</t>
  </si>
  <si>
    <t>Lista</t>
  </si>
  <si>
    <t>Valor 1</t>
  </si>
  <si>
    <t>Valor 2</t>
  </si>
  <si>
    <t>Valor 3</t>
  </si>
  <si>
    <t>Valor 4</t>
  </si>
  <si>
    <t>Valor 5</t>
  </si>
  <si>
    <t>Audit classification</t>
  </si>
  <si>
    <t>P0 status</t>
  </si>
  <si>
    <t>Bloqueado</t>
  </si>
  <si>
    <t>Não aplicável</t>
  </si>
  <si>
    <t>Change status</t>
  </si>
  <si>
    <t>Proposto</t>
  </si>
  <si>
    <t>Verificado</t>
  </si>
  <si>
    <t>Fechado</t>
  </si>
  <si>
    <t>Priority</t>
  </si>
  <si>
    <t>P1</t>
  </si>
  <si>
    <t>P2</t>
  </si>
  <si>
    <t>P3</t>
  </si>
  <si>
    <t>Impact</t>
  </si>
  <si>
    <t>Baixo</t>
  </si>
  <si>
    <t>Médio</t>
  </si>
  <si>
    <t>Alto</t>
  </si>
  <si>
    <t>Requirement status</t>
  </si>
  <si>
    <t>Parcial</t>
  </si>
  <si>
    <t>Implementado</t>
  </si>
  <si>
    <t>Validado</t>
  </si>
  <si>
    <t>Esta aba serve apenas como referência das listas de controle. Alterações nas categorias devem ser feitas de forma deliberada e rastreável.</t>
  </si>
  <si>
    <t>p0/traceability-register</t>
  </si>
  <si>
    <t>04e8e72054f693b237cd7f0ad4e3755eb08d2d91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</si>
</sst>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375623"/>
      <name val="Carlito"/>
    </font>
    <font>
      <i/>
      <sz val="11"/>
      <color rgb="FF7F6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/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 wrapText="1"/>
    </xf>
    <xf numFmtId="0" fontId="5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35">
    <dxf>
      <fill>
        <patternFill patternType="solid">
          <bgColor rgb="FFD9EAF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Estado das ações P0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'01_Dashboard'!$A$4:$A$7</c:f>
              <c:strCache>
                <c:ptCount val="4"/>
                <c:pt idx="0">
                  <c:v>Ações P0 totais</c:v>
                </c:pt>
                <c:pt idx="1">
                  <c:v>P0 concluídas</c:v>
                </c:pt>
                <c:pt idx="2">
                  <c:v>P0 em andamento</c:v>
                </c:pt>
                <c:pt idx="3">
                  <c:v>P0 não iniciadas</c:v>
                </c:pt>
              </c:strCache>
            </c:strRef>
          </c:cat>
          <c:val>
            <c:numRef>
              <c:f>'01_Dashboard'!$B$4:$B$7</c:f>
              <c:numCache>
                <c:formatCode>General</c:formatCode>
                <c:ptCount val="4"/>
                <c:pt idx="0">
                  <c:v>14</c:v>
                </c:pt>
                <c:pt idx="1">
                  <c:v>1</c:v>
                </c:pt>
                <c:pt idx="2">
                  <c:v>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D-4828-A80D-EFCEF981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0ActionsTable" displayName="P0ActionsTable" ref="A1:K15" totalsRowShown="0">
  <tableColumns count="11">
    <tableColumn id="1" xr3:uid="{00000000-0010-0000-0000-000001000000}" name="P0_ID"/>
    <tableColumn id="2" xr3:uid="{00000000-0010-0000-0000-000002000000}" name="Ação v0.14"/>
    <tableColumn id="3" xr3:uid="{00000000-0010-0000-0000-000003000000}" name="Fonte"/>
    <tableColumn id="4" xr3:uid="{00000000-0010-0000-0000-000004000000}" name="Status"/>
    <tableColumn id="5" xr3:uid="{00000000-0010-0000-0000-000005000000}" name="Prioridade"/>
    <tableColumn id="6" xr3:uid="{00000000-0010-0000-0000-000006000000}" name="Responsável"/>
    <tableColumn id="7" xr3:uid="{00000000-0010-0000-0000-000007000000}" name="Evidência/artefato"/>
    <tableColumn id="8" xr3:uid="{00000000-0010-0000-0000-000008000000}" name="Git/PR/Tag"/>
    <tableColumn id="9" xr3:uid="{00000000-0010-0000-0000-000009000000}" name="Data alvo"/>
    <tableColumn id="10" xr3:uid="{00000000-0010-0000-0000-00000A000000}" name="Data conclusão"/>
    <tableColumn id="11" xr3:uid="{00000000-0010-0000-0000-00000B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ngeRegisterTable" displayName="ChangeRegisterTable" ref="A1:Y2" totalsRowShown="0" headerRowDxfId="34" dataDxfId="33">
  <tableColumns count="25">
    <tableColumn id="1" xr3:uid="{00000000-0010-0000-0100-000001000000}" name="CHG_ID" dataDxfId="32"/>
    <tableColumn id="2" xr3:uid="{00000000-0010-0000-0100-000002000000}" name="Data" dataDxfId="31"/>
    <tableColumn id="3" xr3:uid="{00000000-0010-0000-0100-000003000000}" name="Título" dataDxfId="30"/>
    <tableColumn id="4" xr3:uid="{00000000-0010-0000-0100-000004000000}" name="Categoria" dataDxfId="29"/>
    <tableColumn id="5" xr3:uid="{00000000-0010-0000-0100-000005000000}" name="Status" dataDxfId="28"/>
    <tableColumn id="6" xr3:uid="{00000000-0010-0000-0100-000006000000}" name="Prioridade" dataDxfId="27"/>
    <tableColumn id="7" xr3:uid="{00000000-0010-0000-0100-000007000000}" name="Responsável" dataDxfId="26"/>
    <tableColumn id="8" xr3:uid="{00000000-0010-0000-0100-000008000000}" name="Fonte/Justificativa" dataDxfId="25"/>
    <tableColumn id="9" xr3:uid="{00000000-0010-0000-0100-000009000000}" name="REQ_IDs" dataDxfId="24"/>
    <tableColumn id="10" xr3:uid="{00000000-0010-0000-0100-00000A000000}" name="ADR_IDs" dataDxfId="23"/>
    <tableColumn id="11" xr3:uid="{00000000-0010-0000-0100-00000B000000}" name="Arquivos/paths" dataDxfId="22"/>
    <tableColumn id="12" xr3:uid="{00000000-0010-0000-0100-00000C000000}" name="Resumo da alteração" dataDxfId="21"/>
    <tableColumn id="13" xr3:uid="{00000000-0010-0000-0100-00000D000000}" name="Razão" dataDxfId="20"/>
    <tableColumn id="14" xr3:uid="{00000000-0010-0000-0100-00000E000000}" name="Testes/Gates" dataDxfId="19"/>
    <tableColumn id="15" xr3:uid="{00000000-0010-0000-0100-00000F000000}" name="EVID_IDs" dataDxfId="18"/>
    <tableColumn id="16" xr3:uid="{00000000-0010-0000-0100-000010000000}" name="Branch" dataDxfId="17"/>
    <tableColumn id="17" xr3:uid="{00000000-0010-0000-0100-000011000000}" name="Commit" dataDxfId="16"/>
    <tableColumn id="18" xr3:uid="{00000000-0010-0000-0100-000012000000}" name="PR" dataDxfId="15"/>
    <tableColumn id="19" xr3:uid="{00000000-0010-0000-0100-000013000000}" name="Release" dataDxfId="14"/>
    <tableColumn id="20" xr3:uid="{00000000-0010-0000-0100-000014000000}" name="Impacto científico" dataDxfId="13"/>
    <tableColumn id="21" xr3:uid="{00000000-0010-0000-0100-000015000000}" name="Impacto numérico" dataDxfId="12"/>
    <tableColumn id="22" xr3:uid="{00000000-0010-0000-0100-000016000000}" name="Impacto API/ABI" dataDxfId="11"/>
    <tableColumn id="23" xr3:uid="{00000000-0010-0000-0100-000017000000}" name="Documentação atualizada" dataDxfId="10"/>
    <tableColumn id="24" xr3:uid="{00000000-0010-0000-0100-000018000000}" name="Compatibilidade/risco" dataDxfId="9"/>
    <tableColumn id="25" xr3:uid="{00000000-0010-0000-0100-000019000000}" name="Observações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sitoryAuditTable" displayName="RepositoryAuditTable" ref="A1:N2" totalsRowShown="0">
  <tableColumns count="14">
    <tableColumn id="1" xr3:uid="{00000000-0010-0000-0200-000001000000}" name="AUD_ID"/>
    <tableColumn id="2" xr3:uid="{00000000-0010-0000-0200-000002000000}" name="Path"/>
    <tableColumn id="3" xr3:uid="{00000000-0010-0000-0200-000003000000}" name="Tipo"/>
    <tableColumn id="4" xr3:uid="{00000000-0010-0000-0200-000004000000}" name="Módulo"/>
    <tableColumn id="5" xr3:uid="{00000000-0010-0000-0200-000005000000}" name="Responsabilidade atual"/>
    <tableColumn id="6" xr3:uid="{00000000-0010-0000-0200-000006000000}" name="Classificação"/>
    <tableColumn id="7" xr3:uid="{00000000-0010-0000-0200-000007000000}" name="Justificativa"/>
    <tableColumn id="8" xr3:uid="{00000000-0010-0000-0200-000008000000}" name="Evidência"/>
    <tableColumn id="9" xr3:uid="{00000000-0010-0000-0200-000009000000}" name="REQ_IDs"/>
    <tableColumn id="10" xr3:uid="{00000000-0010-0000-0200-00000A000000}" name="CHG_IDs"/>
    <tableColumn id="11" xr3:uid="{00000000-0010-0000-0200-00000B000000}" name="Status"/>
    <tableColumn id="12" xr3:uid="{00000000-0010-0000-0200-00000C000000}" name="Responsável"/>
    <tableColumn id="13" xr3:uid="{00000000-0010-0000-0200-00000D000000}" name="Última revisão"/>
    <tableColumn id="14" xr3:uid="{00000000-0010-0000-0200-00000E000000}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quirementsTable" displayName="RequirementsTable" ref="A1:L60" totalsRowShown="0">
  <tableColumns count="12">
    <tableColumn id="1" xr3:uid="{00000000-0010-0000-0300-000001000000}" name="REQ_ID"/>
    <tableColumn id="2" xr3:uid="{00000000-0010-0000-0300-000002000000}" name="Tipo"/>
    <tableColumn id="3" xr3:uid="{00000000-0010-0000-0300-000003000000}" name="Título"/>
    <tableColumn id="4" xr3:uid="{00000000-0010-0000-0300-000004000000}" name="Texto normativo"/>
    <tableColumn id="5" xr3:uid="{00000000-0010-0000-0300-000005000000}" name="Estado v0.14"/>
    <tableColumn id="6" xr3:uid="{00000000-0010-0000-0300-000006000000}" name="Fonte"/>
    <tableColumn id="7" xr3:uid="{00000000-0010-0000-0300-000007000000}" name="ADR_IDs"/>
    <tableColumn id="8" xr3:uid="{00000000-0010-0000-0300-000008000000}" name="CHG_IDs"/>
    <tableColumn id="9" xr3:uid="{00000000-0010-0000-0300-000009000000}" name="TEST/Gate_IDs"/>
    <tableColumn id="10" xr3:uid="{00000000-0010-0000-0300-00000A000000}" name="EVID_IDs"/>
    <tableColumn id="11" xr3:uid="{00000000-0010-0000-0300-00000B000000}" name="Status implementação"/>
    <tableColumn id="12" xr3:uid="{00000000-0010-0000-0300-00000C000000}" name="Observaçõ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cisionsTable" displayName="DecisionsTable" ref="A1:L27" totalsRowShown="0">
  <tableColumns count="12">
    <tableColumn id="1" xr3:uid="{00000000-0010-0000-0400-000001000000}" name="Record_ID"/>
    <tableColumn id="2" xr3:uid="{00000000-0010-0000-0400-000002000000}" name="Tipo"/>
    <tableColumn id="3" xr3:uid="{00000000-0010-0000-0400-000003000000}" name="Decisão/Título"/>
    <tableColumn id="4" xr3:uid="{00000000-0010-0000-0400-000004000000}" name="Status"/>
    <tableColumn id="5" xr3:uid="{00000000-0010-0000-0400-000005000000}" name="Fonte"/>
    <tableColumn id="6" xr3:uid="{00000000-0010-0000-0400-000006000000}" name="REQ_IDs"/>
    <tableColumn id="7" xr3:uid="{00000000-0010-0000-0400-000007000000}" name="ADR_file"/>
    <tableColumn id="8" xr3:uid="{00000000-0010-0000-0400-000008000000}" name="Supersedes"/>
    <tableColumn id="9" xr3:uid="{00000000-0010-0000-0400-000009000000}" name="Racional/Evidência"/>
    <tableColumn id="10" xr3:uid="{00000000-0010-0000-0400-00000A000000}" name="Responsável"/>
    <tableColumn id="11" xr3:uid="{00000000-0010-0000-0400-00000B000000}" name="Data decisão"/>
    <tableColumn id="12" xr3:uid="{00000000-0010-0000-0400-00000C000000}" name="Observaçõ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stsTable" displayName="TestsTable" ref="A1:L14" totalsRowShown="0">
  <tableColumns count="12">
    <tableColumn id="1" xr3:uid="{00000000-0010-0000-0500-000001000000}" name="Gate_ID"/>
    <tableColumn id="2" xr3:uid="{00000000-0010-0000-0500-000002000000}" name="Tipo"/>
    <tableColumn id="3" xr3:uid="{00000000-0010-0000-0500-000003000000}" name="Objetivo v0.14"/>
    <tableColumn id="4" xr3:uid="{00000000-0010-0000-0500-000004000000}" name="Status"/>
    <tableColumn id="5" xr3:uid="{00000000-0010-0000-0500-000005000000}" name="REQ_IDs"/>
    <tableColumn id="6" xr3:uid="{00000000-0010-0000-0500-000006000000}" name="Executável/Path"/>
    <tableColumn id="7" xr3:uid="{00000000-0010-0000-0500-000007000000}" name="Último resultado"/>
    <tableColumn id="8" xr3:uid="{00000000-0010-0000-0500-000008000000}" name="EVID_IDs"/>
    <tableColumn id="9" xr3:uid="{00000000-0010-0000-0500-000009000000}" name="Commit"/>
    <tableColumn id="10" xr3:uid="{00000000-0010-0000-0500-00000A000000}" name="Última execução"/>
    <tableColumn id="11" xr3:uid="{00000000-0010-0000-0500-00000B000000}" name="Responsável"/>
    <tableColumn id="12" xr3:uid="{00000000-0010-0000-0500-00000C000000}" name="Observaçõ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oadmapCasesTable" displayName="RoadmapCasesTable" ref="A1:L15" totalsRowShown="0">
  <tableColumns count="12">
    <tableColumn id="1" xr3:uid="{00000000-0010-0000-0600-000001000000}" name="Roadmap_ID"/>
    <tableColumn id="2" xr3:uid="{00000000-0010-0000-0600-000002000000}" name="Patamar"/>
    <tableColumn id="3" xr3:uid="{00000000-0010-0000-0600-000003000000}" name="Caso/Corpus candidato"/>
    <tableColumn id="4" xr3:uid="{00000000-0010-0000-0600-000004000000}" name="Source_CASE_ID"/>
    <tableColumn id="5" xr3:uid="{00000000-0010-0000-0600-000005000000}" name="Capacidade dominante"/>
    <tableColumn id="6" xr3:uid="{00000000-0010-0000-0600-000006000000}" name="Status"/>
    <tableColumn id="7" xr3:uid="{00000000-0010-0000-0600-000007000000}" name="CASE_ID interno"/>
    <tableColumn id="8" xr3:uid="{00000000-0010-0000-0600-000008000000}" name="REQ_IDs"/>
    <tableColumn id="9" xr3:uid="{00000000-0010-0000-0600-000009000000}" name="Gate_IDs"/>
    <tableColumn id="10" xr3:uid="{00000000-0010-0000-0600-00000A000000}" name="EVID_IDs"/>
    <tableColumn id="11" xr3:uid="{00000000-0010-0000-0600-00000B000000}" name="CRIVO_ID"/>
    <tableColumn id="12" xr3:uid="{00000000-0010-0000-0600-00000C000000}" name="Observaçõ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leasesTable" displayName="ReleasesTable" ref="A1:L3" totalsRowShown="0">
  <tableColumns count="12">
    <tableColumn id="1" xr3:uid="{00000000-0010-0000-0700-000001000000}" name="Release/Baseline"/>
    <tableColumn id="2" xr3:uid="{00000000-0010-0000-0700-000002000000}" name="Tipo"/>
    <tableColumn id="3" xr3:uid="{00000000-0010-0000-0700-000003000000}" name="Data"/>
    <tableColumn id="4" xr3:uid="{00000000-0010-0000-0700-000004000000}" name="Git tag"/>
    <tableColumn id="5" xr3:uid="{00000000-0010-0000-0700-000005000000}" name="Commit"/>
    <tableColumn id="6" xr3:uid="{00000000-0010-0000-0700-000006000000}" name="Status"/>
    <tableColumn id="7" xr3:uid="{00000000-0010-0000-0700-000007000000}" name="CHG_IDs incluídos"/>
    <tableColumn id="8" xr3:uid="{00000000-0010-0000-0700-000008000000}" name="Gates/Testes"/>
    <tableColumn id="9" xr3:uid="{00000000-0010-0000-0700-000009000000}" name="Evidências"/>
    <tableColumn id="10" xr3:uid="{00000000-0010-0000-0700-00000A000000}" name="CRIVO"/>
    <tableColumn id="11" xr3:uid="{00000000-0010-0000-0700-00000B000000}" name="Critérios"/>
    <tableColumn id="12" xr3:uid="{00000000-0010-0000-0700-00000C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18" workbookViewId="0">
      <selection activeCell="B33" sqref="B33"/>
    </sheetView>
  </sheetViews>
  <sheetFormatPr defaultRowHeight="14.25"/>
  <cols>
    <col min="1" max="1" width="36.625" customWidth="1"/>
    <col min="2" max="2" width="72" style="10" customWidth="1"/>
    <col min="3" max="8" width="12" customWidth="1"/>
  </cols>
  <sheetData>
    <row r="1" spans="1:8" ht="27.9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>
      <c r="A2" s="2"/>
      <c r="B2" s="8"/>
      <c r="C2" s="2"/>
      <c r="D2" s="2"/>
      <c r="E2" s="2"/>
      <c r="F2" s="2"/>
      <c r="G2" s="2"/>
      <c r="H2" s="2"/>
    </row>
    <row r="3" spans="1:8" ht="15">
      <c r="A3" s="1" t="s">
        <v>1</v>
      </c>
      <c r="B3" s="7" t="s">
        <v>2</v>
      </c>
      <c r="C3" s="2"/>
      <c r="D3" s="2"/>
      <c r="E3" s="2"/>
      <c r="F3" s="2"/>
      <c r="G3" s="2"/>
      <c r="H3" s="2"/>
    </row>
    <row r="4" spans="1:8">
      <c r="A4" s="3" t="s">
        <v>3</v>
      </c>
      <c r="B4" s="8" t="s">
        <v>4</v>
      </c>
      <c r="C4" s="2"/>
      <c r="D4" s="2"/>
      <c r="E4" s="2"/>
      <c r="F4" s="2"/>
      <c r="G4" s="2"/>
      <c r="H4" s="2"/>
    </row>
    <row r="5" spans="1:8">
      <c r="A5" s="4" t="s">
        <v>5</v>
      </c>
      <c r="B5" s="9">
        <v>46273</v>
      </c>
      <c r="C5" s="2"/>
      <c r="D5" s="2"/>
      <c r="E5" s="2"/>
      <c r="F5" s="2"/>
      <c r="G5" s="2"/>
      <c r="H5" s="2"/>
    </row>
    <row r="6" spans="1:8">
      <c r="A6" s="3" t="s">
        <v>6</v>
      </c>
      <c r="B6" s="8" t="s">
        <v>7</v>
      </c>
      <c r="C6" s="2"/>
      <c r="D6" s="2"/>
      <c r="E6" s="2"/>
      <c r="F6" s="2"/>
      <c r="G6" s="2"/>
      <c r="H6" s="2"/>
    </row>
    <row r="7" spans="1:8">
      <c r="A7" s="3" t="s">
        <v>8</v>
      </c>
      <c r="B7" s="8" t="s">
        <v>9</v>
      </c>
      <c r="C7" s="2"/>
      <c r="D7" s="2"/>
      <c r="E7" s="2"/>
      <c r="F7" s="2"/>
      <c r="G7" s="2"/>
      <c r="H7" s="2"/>
    </row>
    <row r="8" spans="1:8">
      <c r="A8" s="3" t="s">
        <v>10</v>
      </c>
      <c r="B8" s="8" t="s">
        <v>11</v>
      </c>
      <c r="C8" s="2"/>
      <c r="D8" s="2"/>
      <c r="E8" s="2"/>
      <c r="F8" s="2"/>
      <c r="G8" s="2"/>
      <c r="H8" s="2"/>
    </row>
    <row r="9" spans="1:8">
      <c r="A9" s="3" t="s">
        <v>12</v>
      </c>
      <c r="B9" s="8" t="s">
        <v>13</v>
      </c>
      <c r="C9" s="2"/>
      <c r="D9" s="2"/>
      <c r="E9" s="2"/>
      <c r="F9" s="2"/>
      <c r="G9" s="2"/>
      <c r="H9" s="2"/>
    </row>
    <row r="10" spans="1:8" ht="28.5">
      <c r="A10" s="3" t="s">
        <v>14</v>
      </c>
      <c r="B10" s="8" t="s">
        <v>15</v>
      </c>
      <c r="C10" s="2"/>
      <c r="D10" s="2"/>
      <c r="E10" s="2"/>
      <c r="F10" s="2"/>
      <c r="G10" s="2"/>
      <c r="H10" s="2"/>
    </row>
    <row r="11" spans="1:8" ht="28.5">
      <c r="A11" s="3" t="s">
        <v>16</v>
      </c>
      <c r="B11" s="8" t="s">
        <v>17</v>
      </c>
      <c r="C11" s="2"/>
      <c r="D11" s="2"/>
      <c r="E11" s="2"/>
      <c r="F11" s="2"/>
      <c r="G11" s="2"/>
      <c r="H11" s="2"/>
    </row>
    <row r="12" spans="1:8">
      <c r="A12" s="2"/>
      <c r="B12" s="8"/>
      <c r="C12" s="2"/>
      <c r="D12" s="2"/>
      <c r="E12" s="2"/>
      <c r="F12" s="2"/>
      <c r="G12" s="2"/>
      <c r="H12" s="2"/>
    </row>
    <row r="13" spans="1:8" ht="15">
      <c r="A13" s="15" t="s">
        <v>18</v>
      </c>
      <c r="B13" s="15"/>
      <c r="C13" s="15"/>
      <c r="D13" s="15"/>
      <c r="E13" s="15"/>
      <c r="F13" s="15"/>
      <c r="G13" s="15"/>
      <c r="H13" s="15"/>
    </row>
    <row r="14" spans="1:8">
      <c r="A14" s="5" t="s">
        <v>19</v>
      </c>
      <c r="B14" s="8" t="s">
        <v>20</v>
      </c>
      <c r="C14" s="2"/>
      <c r="D14" s="2"/>
      <c r="E14" s="2"/>
      <c r="F14" s="2"/>
      <c r="G14" s="2"/>
      <c r="H14" s="2"/>
    </row>
    <row r="15" spans="1:8" ht="28.5">
      <c r="A15" s="5" t="s">
        <v>21</v>
      </c>
      <c r="B15" s="8" t="s">
        <v>22</v>
      </c>
      <c r="C15" s="2"/>
      <c r="D15" s="2"/>
      <c r="E15" s="2"/>
      <c r="F15" s="2"/>
      <c r="G15" s="2"/>
      <c r="H15" s="2"/>
    </row>
    <row r="16" spans="1:8" ht="28.5">
      <c r="A16" s="5" t="s">
        <v>23</v>
      </c>
      <c r="B16" s="8" t="s">
        <v>24</v>
      </c>
      <c r="C16" s="2"/>
      <c r="D16" s="2"/>
      <c r="E16" s="2"/>
      <c r="F16" s="2"/>
      <c r="G16" s="2"/>
      <c r="H16" s="2"/>
    </row>
    <row r="17" spans="1:8" ht="28.5">
      <c r="A17" s="5" t="s">
        <v>25</v>
      </c>
      <c r="B17" s="8" t="s">
        <v>26</v>
      </c>
      <c r="C17" s="2"/>
      <c r="D17" s="2"/>
      <c r="E17" s="2"/>
      <c r="F17" s="2"/>
      <c r="G17" s="2"/>
      <c r="H17" s="2"/>
    </row>
    <row r="18" spans="1:8" ht="28.5">
      <c r="A18" s="5" t="s">
        <v>27</v>
      </c>
      <c r="B18" s="8" t="s">
        <v>28</v>
      </c>
      <c r="C18" s="2"/>
      <c r="D18" s="2"/>
      <c r="E18" s="2"/>
      <c r="F18" s="2"/>
      <c r="G18" s="2"/>
      <c r="H18" s="2"/>
    </row>
    <row r="19" spans="1:8" ht="28.5">
      <c r="A19" s="5" t="s">
        <v>29</v>
      </c>
      <c r="B19" s="8" t="s">
        <v>30</v>
      </c>
      <c r="C19" s="2"/>
      <c r="D19" s="2"/>
      <c r="E19" s="2"/>
      <c r="F19" s="2"/>
      <c r="G19" s="2"/>
      <c r="H19" s="2"/>
    </row>
    <row r="20" spans="1:8" ht="28.5">
      <c r="A20" s="5" t="s">
        <v>31</v>
      </c>
      <c r="B20" s="8" t="s">
        <v>32</v>
      </c>
      <c r="C20" s="2"/>
      <c r="D20" s="2"/>
      <c r="E20" s="2"/>
      <c r="F20" s="2"/>
      <c r="G20" s="2"/>
      <c r="H20" s="2"/>
    </row>
    <row r="21" spans="1:8" ht="28.5">
      <c r="A21" s="5" t="s">
        <v>33</v>
      </c>
      <c r="B21" s="8" t="s">
        <v>34</v>
      </c>
      <c r="C21" s="2"/>
      <c r="D21" s="2"/>
      <c r="E21" s="2"/>
      <c r="F21" s="2"/>
      <c r="G21" s="2"/>
      <c r="H21" s="2"/>
    </row>
    <row r="22" spans="1:8" ht="28.5">
      <c r="A22" s="5" t="s">
        <v>35</v>
      </c>
      <c r="B22" s="8" t="s">
        <v>36</v>
      </c>
      <c r="C22" s="2"/>
      <c r="D22" s="2"/>
      <c r="E22" s="2"/>
      <c r="F22" s="2"/>
      <c r="G22" s="2"/>
      <c r="H22" s="2"/>
    </row>
    <row r="23" spans="1:8">
      <c r="A23" s="2"/>
      <c r="B23" s="8"/>
      <c r="C23" s="2"/>
      <c r="D23" s="2"/>
      <c r="E23" s="2"/>
      <c r="F23" s="2"/>
      <c r="G23" s="2"/>
      <c r="H23" s="2"/>
    </row>
    <row r="24" spans="1:8" ht="15">
      <c r="A24" s="15" t="s">
        <v>37</v>
      </c>
      <c r="B24" s="15"/>
      <c r="C24" s="15"/>
      <c r="D24" s="15"/>
      <c r="E24" s="15"/>
      <c r="F24" s="15"/>
      <c r="G24" s="15"/>
      <c r="H24" s="15"/>
    </row>
    <row r="25" spans="1:8">
      <c r="A25" s="16" t="s">
        <v>38</v>
      </c>
      <c r="B25" s="16"/>
      <c r="C25" s="16"/>
      <c r="D25" s="16"/>
      <c r="E25" s="16"/>
      <c r="F25" s="16"/>
      <c r="G25" s="16"/>
      <c r="H25" s="16"/>
    </row>
    <row r="26" spans="1:8">
      <c r="A26" s="16"/>
      <c r="B26" s="16"/>
      <c r="C26" s="16"/>
      <c r="D26" s="16"/>
      <c r="E26" s="16"/>
      <c r="F26" s="16"/>
      <c r="G26" s="16"/>
      <c r="H26" s="16"/>
    </row>
    <row r="27" spans="1:8">
      <c r="A27" s="2"/>
      <c r="B27" s="8"/>
      <c r="C27" s="2"/>
      <c r="D27" s="2"/>
      <c r="E27" s="2"/>
      <c r="F27" s="2"/>
      <c r="G27" s="2"/>
      <c r="H27" s="2"/>
    </row>
    <row r="28" spans="1:8" ht="15">
      <c r="A28" s="15" t="s">
        <v>39</v>
      </c>
      <c r="B28" s="15"/>
      <c r="C28" s="15"/>
      <c r="D28" s="15"/>
      <c r="E28" s="15"/>
      <c r="F28" s="15"/>
      <c r="G28" s="15"/>
      <c r="H28" s="15"/>
    </row>
    <row r="29" spans="1:8">
      <c r="A29" s="13" t="s">
        <v>40</v>
      </c>
      <c r="B29" s="13"/>
      <c r="C29" s="13"/>
      <c r="D29" s="13"/>
      <c r="E29" s="13"/>
      <c r="F29" s="13"/>
      <c r="G29" s="13"/>
      <c r="H29" s="13"/>
    </row>
    <row r="30" spans="1:8">
      <c r="A30" s="13"/>
      <c r="B30" s="13"/>
      <c r="C30" s="13"/>
      <c r="D30" s="13"/>
      <c r="E30" s="13"/>
      <c r="F30" s="13"/>
      <c r="G30" s="13"/>
      <c r="H30" s="13"/>
    </row>
    <row r="31" spans="1:8">
      <c r="A31" s="13"/>
      <c r="B31" s="13"/>
      <c r="C31" s="13"/>
      <c r="D31" s="13"/>
      <c r="E31" s="13"/>
      <c r="F31" s="13"/>
      <c r="G31" s="13"/>
      <c r="H31" s="13"/>
    </row>
    <row r="32" spans="1:8">
      <c r="A32" s="13"/>
      <c r="B32" s="13"/>
      <c r="C32" s="13"/>
      <c r="D32" s="13"/>
      <c r="E32" s="13"/>
      <c r="F32" s="13"/>
      <c r="G32" s="13"/>
      <c r="H32" s="13"/>
    </row>
  </sheetData>
  <mergeCells count="6">
    <mergeCell ref="A29:H32"/>
    <mergeCell ref="A1:H1"/>
    <mergeCell ref="A13:H13"/>
    <mergeCell ref="A24:H24"/>
    <mergeCell ref="A25:H26"/>
    <mergeCell ref="A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4.25"/>
  <cols>
    <col min="1" max="1" width="28" customWidth="1"/>
    <col min="2" max="2" width="16" customWidth="1"/>
    <col min="4" max="4" width="28" customWidth="1"/>
    <col min="5" max="5" width="16" customWidth="1"/>
  </cols>
  <sheetData>
    <row r="1" spans="1:8" ht="27.95" customHeight="1">
      <c r="A1" s="17" t="s">
        <v>41</v>
      </c>
      <c r="B1" s="17"/>
      <c r="C1" s="17"/>
      <c r="D1" s="17"/>
      <c r="E1" s="17"/>
      <c r="F1" s="17"/>
      <c r="G1" s="17"/>
      <c r="H1" s="17"/>
    </row>
    <row r="3" spans="1:8" ht="15">
      <c r="A3" s="1" t="s">
        <v>42</v>
      </c>
      <c r="B3" s="1" t="s">
        <v>2</v>
      </c>
      <c r="D3" s="1" t="s">
        <v>43</v>
      </c>
      <c r="E3" s="1" t="s">
        <v>44</v>
      </c>
    </row>
    <row r="4" spans="1:8">
      <c r="A4" s="2" t="s">
        <v>45</v>
      </c>
      <c r="B4" s="2">
        <f>COUNTA('02_P0_Actions'!A2:A100)</f>
        <v>14</v>
      </c>
      <c r="D4" t="s">
        <v>46</v>
      </c>
      <c r="E4">
        <f>COUNTIF('04_Repository_Audit'!F2:F1000,"REUSE")</f>
        <v>0</v>
      </c>
    </row>
    <row r="5" spans="1:8">
      <c r="A5" s="2" t="s">
        <v>47</v>
      </c>
      <c r="B5" s="2">
        <f>COUNTIF('02_P0_Actions'!D2:D100,"Concluído")</f>
        <v>1</v>
      </c>
      <c r="D5" t="s">
        <v>48</v>
      </c>
      <c r="E5">
        <f>COUNTIF('04_Repository_Audit'!F2:F1000,"REFACTOR")</f>
        <v>0</v>
      </c>
    </row>
    <row r="6" spans="1:8">
      <c r="A6" s="2" t="s">
        <v>49</v>
      </c>
      <c r="B6" s="2">
        <f>COUNTIF('02_P0_Actions'!D2:D100,"Em andamento")</f>
        <v>2</v>
      </c>
      <c r="D6" t="s">
        <v>50</v>
      </c>
      <c r="E6">
        <f>COUNTIF('04_Repository_Audit'!F2:F1000,"REPLACE")</f>
        <v>0</v>
      </c>
    </row>
    <row r="7" spans="1:8">
      <c r="A7" s="2" t="s">
        <v>51</v>
      </c>
      <c r="B7" s="2">
        <f>COUNTIF('02_P0_Actions'!D2:D100,"Não iniciado")</f>
        <v>11</v>
      </c>
      <c r="D7" t="s">
        <v>52</v>
      </c>
      <c r="E7">
        <f>COUNTIF('04_Repository_Audit'!F2:F1000,"REMOVE")</f>
        <v>0</v>
      </c>
    </row>
    <row r="8" spans="1:8">
      <c r="A8" s="2" t="s">
        <v>53</v>
      </c>
      <c r="B8" s="2">
        <f>COUNTA('05_Requirements'!A2:A200)</f>
        <v>59</v>
      </c>
      <c r="D8" s="3" t="s">
        <v>54</v>
      </c>
      <c r="E8" s="3">
        <f>COUNTIF('04_Repository_Audit'!F2:F1000,"INVESTIGATE")</f>
        <v>1</v>
      </c>
    </row>
    <row r="9" spans="1:8">
      <c r="A9" s="2" t="s">
        <v>55</v>
      </c>
      <c r="B9" s="2">
        <f>COUNTIF('06_Decisions_ADRs'!D2:D200,"Em aberto")</f>
        <v>16</v>
      </c>
    </row>
    <row r="12" spans="1:8" ht="15">
      <c r="A12" s="18" t="s">
        <v>56</v>
      </c>
      <c r="B12" s="18"/>
      <c r="C12" s="18"/>
      <c r="D12" s="18"/>
      <c r="E12" s="18"/>
      <c r="F12" s="18"/>
      <c r="G12" s="18"/>
      <c r="H12" s="18"/>
    </row>
    <row r="13" spans="1:8">
      <c r="A13" s="13" t="s">
        <v>57</v>
      </c>
      <c r="B13" s="13"/>
      <c r="C13" s="13"/>
      <c r="D13" s="13"/>
      <c r="E13" s="13"/>
      <c r="F13" s="13"/>
      <c r="G13" s="13"/>
      <c r="H13" s="13"/>
    </row>
    <row r="14" spans="1:8">
      <c r="A14" s="13"/>
      <c r="B14" s="13"/>
      <c r="C14" s="13"/>
      <c r="D14" s="13"/>
      <c r="E14" s="13"/>
      <c r="F14" s="13"/>
      <c r="G14" s="13"/>
      <c r="H14" s="13"/>
    </row>
    <row r="15" spans="1:8">
      <c r="A15" s="13"/>
      <c r="B15" s="13"/>
      <c r="C15" s="13"/>
      <c r="D15" s="13"/>
      <c r="E15" s="13"/>
      <c r="F15" s="13"/>
      <c r="G15" s="13"/>
      <c r="H15" s="13"/>
    </row>
    <row r="16" spans="1:8">
      <c r="A16" s="13"/>
      <c r="B16" s="13"/>
      <c r="C16" s="13"/>
      <c r="D16" s="13"/>
      <c r="E16" s="13"/>
      <c r="F16" s="13"/>
      <c r="G16" s="13"/>
      <c r="H16" s="13"/>
    </row>
    <row r="17" spans="1:8">
      <c r="A17" s="13"/>
      <c r="B17" s="13"/>
      <c r="C17" s="13"/>
      <c r="D17" s="13"/>
      <c r="E17" s="13"/>
      <c r="F17" s="13"/>
      <c r="G17" s="13"/>
      <c r="H17" s="13"/>
    </row>
  </sheetData>
  <mergeCells count="3">
    <mergeCell ref="A1:H1"/>
    <mergeCell ref="A12:H12"/>
    <mergeCell ref="A13:H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RowHeight="14.25"/>
  <cols>
    <col min="1" max="1" width="11" customWidth="1"/>
    <col min="2" max="2" width="66" customWidth="1"/>
    <col min="3" max="3" width="18" customWidth="1"/>
    <col min="4" max="4" width="16" customWidth="1"/>
    <col min="5" max="5" width="10" customWidth="1"/>
    <col min="6" max="6" width="24" customWidth="1"/>
    <col min="7" max="8" width="34" customWidth="1"/>
    <col min="9" max="10" width="14" customWidth="1"/>
    <col min="11" max="11" width="40" customWidth="1"/>
  </cols>
  <sheetData>
    <row r="1" spans="1:11" ht="30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</row>
    <row r="2" spans="1:11" ht="28.5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  <c r="H2" s="3" t="s">
        <v>11</v>
      </c>
      <c r="I2" s="4"/>
      <c r="J2" s="4">
        <v>46273</v>
      </c>
      <c r="K2" s="3" t="s">
        <v>76</v>
      </c>
    </row>
    <row r="3" spans="1:11" ht="28.5">
      <c r="A3" s="3" t="s">
        <v>77</v>
      </c>
      <c r="B3" s="3" t="s">
        <v>78</v>
      </c>
      <c r="C3" s="3" t="s">
        <v>79</v>
      </c>
      <c r="D3" s="3" t="s">
        <v>80</v>
      </c>
      <c r="E3" s="3" t="s">
        <v>73</v>
      </c>
      <c r="F3" s="3" t="s">
        <v>74</v>
      </c>
      <c r="G3" s="3" t="s">
        <v>81</v>
      </c>
      <c r="H3" s="3"/>
      <c r="I3" s="4"/>
      <c r="J3" s="4"/>
      <c r="K3" s="3" t="s">
        <v>82</v>
      </c>
    </row>
    <row r="4" spans="1:11" ht="42.75">
      <c r="A4" s="3" t="s">
        <v>83</v>
      </c>
      <c r="B4" s="3" t="s">
        <v>84</v>
      </c>
      <c r="C4" s="3" t="s">
        <v>85</v>
      </c>
      <c r="D4" s="3" t="s">
        <v>86</v>
      </c>
      <c r="E4" s="3" t="s">
        <v>73</v>
      </c>
      <c r="F4" s="3" t="s">
        <v>74</v>
      </c>
      <c r="G4" s="3" t="s">
        <v>87</v>
      </c>
      <c r="H4" s="3"/>
      <c r="I4" s="4"/>
      <c r="J4" s="4"/>
      <c r="K4" s="3" t="s">
        <v>88</v>
      </c>
    </row>
    <row r="5" spans="1:11" ht="28.5">
      <c r="A5" s="3" t="s">
        <v>89</v>
      </c>
      <c r="B5" s="3" t="s">
        <v>90</v>
      </c>
      <c r="C5" s="3" t="s">
        <v>91</v>
      </c>
      <c r="D5" s="3" t="s">
        <v>80</v>
      </c>
      <c r="E5" s="3" t="s">
        <v>73</v>
      </c>
      <c r="F5" s="3"/>
      <c r="G5" s="3" t="s">
        <v>92</v>
      </c>
      <c r="H5" s="3"/>
      <c r="I5" s="4"/>
      <c r="J5" s="4"/>
      <c r="K5" s="3"/>
    </row>
    <row r="6" spans="1:11" ht="42.75">
      <c r="A6" s="3" t="s">
        <v>93</v>
      </c>
      <c r="B6" s="3" t="s">
        <v>94</v>
      </c>
      <c r="C6" s="3" t="s">
        <v>95</v>
      </c>
      <c r="D6" s="3" t="s">
        <v>80</v>
      </c>
      <c r="E6" s="3" t="s">
        <v>73</v>
      </c>
      <c r="F6" s="3"/>
      <c r="G6" s="3"/>
      <c r="H6" s="3"/>
      <c r="I6" s="4"/>
      <c r="J6" s="4"/>
      <c r="K6" s="3"/>
    </row>
    <row r="7" spans="1:11" ht="42.75">
      <c r="A7" s="3" t="s">
        <v>96</v>
      </c>
      <c r="B7" s="3" t="s">
        <v>97</v>
      </c>
      <c r="C7" s="3" t="s">
        <v>98</v>
      </c>
      <c r="D7" s="3" t="s">
        <v>80</v>
      </c>
      <c r="E7" s="3" t="s">
        <v>73</v>
      </c>
      <c r="F7" s="3"/>
      <c r="G7" s="3"/>
      <c r="H7" s="3"/>
      <c r="I7" s="4"/>
      <c r="J7" s="4"/>
      <c r="K7" s="3"/>
    </row>
    <row r="8" spans="1:11" ht="28.5">
      <c r="A8" s="3" t="s">
        <v>99</v>
      </c>
      <c r="B8" s="3" t="s">
        <v>100</v>
      </c>
      <c r="C8" s="3" t="s">
        <v>101</v>
      </c>
      <c r="D8" s="3" t="s">
        <v>80</v>
      </c>
      <c r="E8" s="3" t="s">
        <v>73</v>
      </c>
      <c r="F8" s="3"/>
      <c r="G8" s="3"/>
      <c r="H8" s="3"/>
      <c r="I8" s="4"/>
      <c r="J8" s="4"/>
      <c r="K8" s="3"/>
    </row>
    <row r="9" spans="1:11" ht="42.75">
      <c r="A9" s="3" t="s">
        <v>102</v>
      </c>
      <c r="B9" s="3" t="s">
        <v>103</v>
      </c>
      <c r="C9" s="3" t="s">
        <v>104</v>
      </c>
      <c r="D9" s="3" t="s">
        <v>80</v>
      </c>
      <c r="E9" s="3" t="s">
        <v>73</v>
      </c>
      <c r="F9" s="3"/>
      <c r="G9" s="3" t="s">
        <v>105</v>
      </c>
      <c r="H9" s="3"/>
      <c r="I9" s="4"/>
      <c r="J9" s="4"/>
      <c r="K9" s="3" t="s">
        <v>106</v>
      </c>
    </row>
    <row r="10" spans="1:11" ht="28.5">
      <c r="A10" s="3" t="s">
        <v>107</v>
      </c>
      <c r="B10" s="3" t="s">
        <v>108</v>
      </c>
      <c r="C10" s="3" t="s">
        <v>109</v>
      </c>
      <c r="D10" s="3" t="s">
        <v>80</v>
      </c>
      <c r="E10" s="3" t="s">
        <v>73</v>
      </c>
      <c r="F10" s="3"/>
      <c r="G10" s="3" t="s">
        <v>110</v>
      </c>
      <c r="H10" s="3"/>
      <c r="I10" s="4"/>
      <c r="J10" s="4"/>
      <c r="K10" s="3"/>
    </row>
    <row r="11" spans="1:11" ht="28.5">
      <c r="A11" s="3" t="s">
        <v>111</v>
      </c>
      <c r="B11" s="3" t="s">
        <v>112</v>
      </c>
      <c r="C11" s="3" t="s">
        <v>113</v>
      </c>
      <c r="D11" s="3" t="s">
        <v>86</v>
      </c>
      <c r="E11" s="3" t="s">
        <v>73</v>
      </c>
      <c r="F11" s="3"/>
      <c r="G11" s="3" t="s">
        <v>92</v>
      </c>
      <c r="H11" s="3"/>
      <c r="I11" s="4"/>
      <c r="J11" s="4"/>
      <c r="K11" s="3" t="s">
        <v>114</v>
      </c>
    </row>
    <row r="12" spans="1:11" ht="71.25">
      <c r="A12" s="3" t="s">
        <v>115</v>
      </c>
      <c r="B12" s="3" t="s">
        <v>116</v>
      </c>
      <c r="C12" s="3" t="s">
        <v>117</v>
      </c>
      <c r="D12" s="3" t="s">
        <v>80</v>
      </c>
      <c r="E12" s="3" t="s">
        <v>73</v>
      </c>
      <c r="F12" s="3"/>
      <c r="G12" s="3" t="s">
        <v>81</v>
      </c>
      <c r="H12" s="3"/>
      <c r="I12" s="4"/>
      <c r="J12" s="4"/>
      <c r="K12" s="3"/>
    </row>
    <row r="13" spans="1:11" ht="42.75">
      <c r="A13" s="3" t="s">
        <v>118</v>
      </c>
      <c r="B13" s="3" t="s">
        <v>119</v>
      </c>
      <c r="C13" s="3" t="s">
        <v>120</v>
      </c>
      <c r="D13" s="3" t="s">
        <v>80</v>
      </c>
      <c r="E13" s="3" t="s">
        <v>73</v>
      </c>
      <c r="F13" s="3"/>
      <c r="G13" s="3"/>
      <c r="H13" s="3"/>
      <c r="I13" s="4"/>
      <c r="J13" s="4"/>
      <c r="K13" s="3"/>
    </row>
    <row r="14" spans="1:11" ht="57">
      <c r="A14" s="3" t="s">
        <v>121</v>
      </c>
      <c r="B14" s="3" t="s">
        <v>122</v>
      </c>
      <c r="C14" s="3" t="s">
        <v>123</v>
      </c>
      <c r="D14" s="3" t="s">
        <v>80</v>
      </c>
      <c r="E14" s="3" t="s">
        <v>73</v>
      </c>
      <c r="F14" s="3"/>
      <c r="G14" s="3"/>
      <c r="H14" s="3"/>
      <c r="I14" s="4"/>
      <c r="J14" s="4"/>
      <c r="K14" s="3"/>
    </row>
    <row r="15" spans="1:11" ht="42.75">
      <c r="A15" s="3" t="s">
        <v>124</v>
      </c>
      <c r="B15" s="3" t="s">
        <v>125</v>
      </c>
      <c r="C15" s="3" t="s">
        <v>126</v>
      </c>
      <c r="D15" s="3" t="s">
        <v>80</v>
      </c>
      <c r="E15" s="3" t="s">
        <v>73</v>
      </c>
      <c r="F15" s="3"/>
      <c r="G15" s="3" t="s">
        <v>127</v>
      </c>
      <c r="H15" s="3"/>
      <c r="I15" s="4"/>
      <c r="J15" s="4"/>
      <c r="K15" s="3"/>
    </row>
    <row r="16" spans="1:11">
      <c r="I16" s="6"/>
      <c r="J16" s="6"/>
    </row>
    <row r="17" spans="9:10">
      <c r="I17" s="6"/>
      <c r="J17" s="6"/>
    </row>
    <row r="18" spans="9:10">
      <c r="I18" s="6"/>
      <c r="J18" s="6"/>
    </row>
    <row r="19" spans="9:10">
      <c r="I19" s="6"/>
      <c r="J19" s="6"/>
    </row>
    <row r="20" spans="9:10">
      <c r="I20" s="6"/>
      <c r="J20" s="6"/>
    </row>
    <row r="21" spans="9:10">
      <c r="I21" s="6"/>
      <c r="J21" s="6"/>
    </row>
    <row r="22" spans="9:10">
      <c r="I22" s="6"/>
      <c r="J22" s="6"/>
    </row>
    <row r="23" spans="9:10">
      <c r="I23" s="6"/>
      <c r="J23" s="6"/>
    </row>
    <row r="24" spans="9:10">
      <c r="I24" s="6"/>
      <c r="J24" s="6"/>
    </row>
    <row r="25" spans="9:10">
      <c r="I25" s="6"/>
      <c r="J25" s="6"/>
    </row>
    <row r="26" spans="9:10">
      <c r="I26" s="6"/>
      <c r="J26" s="6"/>
    </row>
    <row r="27" spans="9:10">
      <c r="I27" s="6"/>
      <c r="J27" s="6"/>
    </row>
    <row r="28" spans="9:10">
      <c r="I28" s="6"/>
      <c r="J28" s="6"/>
    </row>
    <row r="29" spans="9:10">
      <c r="I29" s="6"/>
      <c r="J29" s="6"/>
    </row>
    <row r="30" spans="9:10">
      <c r="I30" s="6"/>
      <c r="J30" s="6"/>
    </row>
    <row r="31" spans="9:10">
      <c r="I31" s="6"/>
      <c r="J31" s="6"/>
    </row>
    <row r="32" spans="9:10">
      <c r="I32" s="6"/>
      <c r="J32" s="6"/>
    </row>
    <row r="33" spans="9:10">
      <c r="I33" s="6"/>
      <c r="J33" s="6"/>
    </row>
    <row r="34" spans="9:10">
      <c r="I34" s="6"/>
      <c r="J34" s="6"/>
    </row>
    <row r="35" spans="9:10">
      <c r="I35" s="6"/>
      <c r="J35" s="6"/>
    </row>
    <row r="36" spans="9:10">
      <c r="I36" s="6"/>
      <c r="J36" s="6"/>
    </row>
    <row r="37" spans="9:10">
      <c r="I37" s="6"/>
      <c r="J37" s="6"/>
    </row>
    <row r="38" spans="9:10">
      <c r="I38" s="6"/>
      <c r="J38" s="6"/>
    </row>
    <row r="39" spans="9:10">
      <c r="I39" s="6"/>
      <c r="J39" s="6"/>
    </row>
    <row r="40" spans="9:10">
      <c r="I40" s="6"/>
      <c r="J40" s="6"/>
    </row>
    <row r="41" spans="9:10">
      <c r="I41" s="6"/>
      <c r="J41" s="6"/>
    </row>
    <row r="42" spans="9:10">
      <c r="I42" s="6"/>
      <c r="J42" s="6"/>
    </row>
    <row r="43" spans="9:10">
      <c r="I43" s="6"/>
      <c r="J43" s="6"/>
    </row>
    <row r="44" spans="9:10">
      <c r="I44" s="6"/>
      <c r="J44" s="6"/>
    </row>
    <row r="45" spans="9:10">
      <c r="I45" s="6"/>
      <c r="J45" s="6"/>
    </row>
    <row r="46" spans="9:10">
      <c r="I46" s="6"/>
      <c r="J46" s="6"/>
    </row>
    <row r="47" spans="9:10">
      <c r="I47" s="6"/>
      <c r="J47" s="6"/>
    </row>
    <row r="48" spans="9:10">
      <c r="I48" s="6"/>
      <c r="J48" s="6"/>
    </row>
    <row r="49" spans="9:10">
      <c r="I49" s="6"/>
      <c r="J49" s="6"/>
    </row>
    <row r="50" spans="9:10">
      <c r="I50" s="6"/>
      <c r="J50" s="6"/>
    </row>
    <row r="51" spans="9:10">
      <c r="I51" s="6"/>
      <c r="J51" s="6"/>
    </row>
    <row r="52" spans="9:10">
      <c r="I52" s="6"/>
      <c r="J52" s="6"/>
    </row>
    <row r="53" spans="9:10">
      <c r="I53" s="6"/>
      <c r="J53" s="6"/>
    </row>
    <row r="54" spans="9:10">
      <c r="I54" s="6"/>
      <c r="J54" s="6"/>
    </row>
    <row r="55" spans="9:10">
      <c r="I55" s="6"/>
      <c r="J55" s="6"/>
    </row>
    <row r="56" spans="9:10">
      <c r="I56" s="6"/>
      <c r="J56" s="6"/>
    </row>
    <row r="57" spans="9:10">
      <c r="I57" s="6"/>
      <c r="J57" s="6"/>
    </row>
    <row r="58" spans="9:10">
      <c r="I58" s="6"/>
      <c r="J58" s="6"/>
    </row>
    <row r="59" spans="9:10">
      <c r="I59" s="6"/>
      <c r="J59" s="6"/>
    </row>
    <row r="60" spans="9:10">
      <c r="I60" s="6"/>
      <c r="J60" s="6"/>
    </row>
    <row r="61" spans="9:10">
      <c r="I61" s="6"/>
      <c r="J61" s="6"/>
    </row>
    <row r="62" spans="9:10">
      <c r="I62" s="6"/>
      <c r="J62" s="6"/>
    </row>
    <row r="63" spans="9:10">
      <c r="I63" s="6"/>
      <c r="J63" s="6"/>
    </row>
    <row r="64" spans="9:10">
      <c r="I64" s="6"/>
      <c r="J64" s="6"/>
    </row>
    <row r="65" spans="9:10">
      <c r="I65" s="6"/>
      <c r="J65" s="6"/>
    </row>
    <row r="66" spans="9:10">
      <c r="I66" s="6"/>
      <c r="J66" s="6"/>
    </row>
    <row r="67" spans="9:10">
      <c r="I67" s="6"/>
      <c r="J67" s="6"/>
    </row>
    <row r="68" spans="9:10">
      <c r="I68" s="6"/>
      <c r="J68" s="6"/>
    </row>
    <row r="69" spans="9:10">
      <c r="I69" s="6"/>
      <c r="J69" s="6"/>
    </row>
    <row r="70" spans="9:10">
      <c r="I70" s="6"/>
      <c r="J70" s="6"/>
    </row>
    <row r="71" spans="9:10">
      <c r="I71" s="6"/>
      <c r="J71" s="6"/>
    </row>
    <row r="72" spans="9:10">
      <c r="I72" s="6"/>
      <c r="J72" s="6"/>
    </row>
    <row r="73" spans="9:10">
      <c r="I73" s="6"/>
      <c r="J73" s="6"/>
    </row>
    <row r="74" spans="9:10">
      <c r="I74" s="6"/>
      <c r="J74" s="6"/>
    </row>
    <row r="75" spans="9:10">
      <c r="I75" s="6"/>
      <c r="J75" s="6"/>
    </row>
    <row r="76" spans="9:10">
      <c r="I76" s="6"/>
      <c r="J76" s="6"/>
    </row>
    <row r="77" spans="9:10">
      <c r="I77" s="6"/>
      <c r="J77" s="6"/>
    </row>
    <row r="78" spans="9:10">
      <c r="I78" s="6"/>
      <c r="J78" s="6"/>
    </row>
    <row r="79" spans="9:10">
      <c r="I79" s="6"/>
      <c r="J79" s="6"/>
    </row>
    <row r="80" spans="9:10">
      <c r="I80" s="6"/>
      <c r="J80" s="6"/>
    </row>
    <row r="81" spans="9:10">
      <c r="I81" s="6"/>
      <c r="J81" s="6"/>
    </row>
    <row r="82" spans="9:10">
      <c r="I82" s="6"/>
      <c r="J82" s="6"/>
    </row>
    <row r="83" spans="9:10">
      <c r="I83" s="6"/>
      <c r="J83" s="6"/>
    </row>
    <row r="84" spans="9:10">
      <c r="I84" s="6"/>
      <c r="J84" s="6"/>
    </row>
    <row r="85" spans="9:10">
      <c r="I85" s="6"/>
      <c r="J85" s="6"/>
    </row>
    <row r="86" spans="9:10">
      <c r="I86" s="6"/>
      <c r="J86" s="6"/>
    </row>
    <row r="87" spans="9:10">
      <c r="I87" s="6"/>
      <c r="J87" s="6"/>
    </row>
    <row r="88" spans="9:10">
      <c r="I88" s="6"/>
      <c r="J88" s="6"/>
    </row>
    <row r="89" spans="9:10">
      <c r="I89" s="6"/>
      <c r="J89" s="6"/>
    </row>
    <row r="90" spans="9:10">
      <c r="I90" s="6"/>
      <c r="J90" s="6"/>
    </row>
    <row r="91" spans="9:10">
      <c r="I91" s="6"/>
      <c r="J91" s="6"/>
    </row>
    <row r="92" spans="9:10">
      <c r="I92" s="6"/>
      <c r="J92" s="6"/>
    </row>
    <row r="93" spans="9:10">
      <c r="I93" s="6"/>
      <c r="J93" s="6"/>
    </row>
    <row r="94" spans="9:10">
      <c r="I94" s="6"/>
      <c r="J94" s="6"/>
    </row>
    <row r="95" spans="9:10">
      <c r="I95" s="6"/>
      <c r="J95" s="6"/>
    </row>
    <row r="96" spans="9:10">
      <c r="I96" s="6"/>
      <c r="J96" s="6"/>
    </row>
    <row r="97" spans="9:10">
      <c r="I97" s="6"/>
      <c r="J97" s="6"/>
    </row>
    <row r="98" spans="9:10">
      <c r="I98" s="6"/>
      <c r="J98" s="6"/>
    </row>
    <row r="99" spans="9:10">
      <c r="I99" s="6"/>
      <c r="J99" s="6"/>
    </row>
    <row r="100" spans="9:10">
      <c r="I100" s="6"/>
      <c r="J100" s="6"/>
    </row>
  </sheetData>
  <conditionalFormatting sqref="D2:D100">
    <cfRule type="expression" dxfId="7" priority="1">
      <formula>D2="Concluído"</formula>
    </cfRule>
    <cfRule type="expression" dxfId="6" priority="2">
      <formula>D2="Em andamento"</formula>
    </cfRule>
    <cfRule type="expression" dxfId="5" priority="3">
      <formula>D2="Bloqueado"</formula>
    </cfRule>
  </conditionalFormatting>
  <dataValidations count="1">
    <dataValidation type="list" sqref="D2:D100" xr:uid="{00000000-0002-0000-0200-000000000000}">
      <formula1>"Não iniciado,Em andamento,Bloqueado,Concluído,Não aplicável"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0"/>
  <sheetViews>
    <sheetView tabSelected="1" topLeftCell="J1" workbookViewId="0">
      <selection activeCell="Q2" sqref="Q2"/>
    </sheetView>
  </sheetViews>
  <sheetFormatPr defaultRowHeight="14.25"/>
  <cols>
    <col min="1" max="2" width="12" customWidth="1"/>
    <col min="3" max="3" width="34" customWidth="1"/>
    <col min="4" max="4" width="20" customWidth="1"/>
    <col min="5" max="5" width="22" customWidth="1"/>
    <col min="6" max="6" width="10" customWidth="1"/>
    <col min="7" max="7" width="24" customWidth="1"/>
    <col min="8" max="8" width="32" customWidth="1"/>
    <col min="9" max="9" width="22" customWidth="1"/>
    <col min="10" max="10" width="18" customWidth="1"/>
    <col min="11" max="11" width="42" customWidth="1"/>
    <col min="12" max="12" width="48" customWidth="1"/>
    <col min="13" max="13" width="42" customWidth="1"/>
    <col min="14" max="14" width="30" customWidth="1"/>
    <col min="15" max="15" width="20" customWidth="1"/>
    <col min="16" max="16" width="24" customWidth="1"/>
    <col min="17" max="17" width="40" customWidth="1"/>
    <col min="18" max="18" width="16" customWidth="1"/>
    <col min="19" max="19" width="14" customWidth="1"/>
    <col min="20" max="22" width="16" customWidth="1"/>
    <col min="23" max="24" width="34" customWidth="1"/>
    <col min="25" max="25" width="42" customWidth="1"/>
  </cols>
  <sheetData>
    <row r="1" spans="1:25" s="11" customFormat="1" ht="30">
      <c r="A1" s="1" t="s">
        <v>128</v>
      </c>
      <c r="B1" s="1" t="s">
        <v>129</v>
      </c>
      <c r="C1" s="1" t="s">
        <v>130</v>
      </c>
      <c r="D1" s="1" t="s">
        <v>131</v>
      </c>
      <c r="E1" s="1" t="s">
        <v>61</v>
      </c>
      <c r="F1" s="1" t="s">
        <v>62</v>
      </c>
      <c r="G1" s="1" t="s">
        <v>63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68</v>
      </c>
    </row>
    <row r="2" spans="1:25" s="10" customFormat="1" ht="42.75">
      <c r="A2" s="8" t="s">
        <v>149</v>
      </c>
      <c r="B2" s="12">
        <v>46273</v>
      </c>
      <c r="C2" s="8" t="s">
        <v>150</v>
      </c>
      <c r="D2" s="8" t="s">
        <v>151</v>
      </c>
      <c r="E2" s="8" t="s">
        <v>152</v>
      </c>
      <c r="F2" s="8" t="s">
        <v>73</v>
      </c>
      <c r="G2" s="8" t="s">
        <v>74</v>
      </c>
      <c r="H2" s="8" t="s">
        <v>153</v>
      </c>
      <c r="I2" s="8"/>
      <c r="J2" s="8"/>
      <c r="K2" s="8" t="s">
        <v>13</v>
      </c>
      <c r="L2" s="8" t="s">
        <v>154</v>
      </c>
      <c r="M2" s="8" t="s">
        <v>155</v>
      </c>
      <c r="N2" s="8" t="s">
        <v>156</v>
      </c>
      <c r="O2" s="8"/>
      <c r="P2" s="8" t="s">
        <v>568</v>
      </c>
      <c r="Q2" s="8" t="s">
        <v>569</v>
      </c>
      <c r="R2" s="8"/>
      <c r="S2" s="8"/>
      <c r="T2" s="8" t="s">
        <v>157</v>
      </c>
      <c r="U2" s="8" t="s">
        <v>157</v>
      </c>
      <c r="V2" s="8" t="s">
        <v>157</v>
      </c>
      <c r="W2" s="8" t="s">
        <v>158</v>
      </c>
      <c r="X2" s="8" t="s">
        <v>159</v>
      </c>
      <c r="Y2" s="8" t="s">
        <v>160</v>
      </c>
    </row>
    <row r="3" spans="1:25">
      <c r="A3" s="3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3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3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3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3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3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3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3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3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3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3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3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3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3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3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</sheetData>
  <dataValidations count="3">
    <dataValidation type="list" sqref="E2:E300" xr:uid="{00000000-0002-0000-0300-000000000000}">
      <formula1>"Proposto,Em andamento,Implementado, pendente Git,Verificado,Fechado,Bloqueado,Cancelado,Superseded"</formula1>
    </dataValidation>
    <dataValidation type="list" sqref="F2:F300" xr:uid="{00000000-0002-0000-0300-000001000000}">
      <formula1>"P0,P1,P2,P3"</formula1>
    </dataValidation>
    <dataValidation type="list" sqref="T2:V300" xr:uid="{00000000-0002-0000-0300-000002000000}">
      <formula1>"Nenhum,Baixo,Médio,Alto"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0"/>
  <sheetViews>
    <sheetView workbookViewId="0"/>
  </sheetViews>
  <sheetFormatPr defaultRowHeight="14.25"/>
  <cols>
    <col min="1" max="1" width="12" customWidth="1"/>
    <col min="2" max="2" width="46" customWidth="1"/>
    <col min="3" max="3" width="18" customWidth="1"/>
    <col min="4" max="4" width="20" customWidth="1"/>
    <col min="5" max="5" width="42" customWidth="1"/>
    <col min="6" max="6" width="14" customWidth="1"/>
    <col min="7" max="7" width="48" customWidth="1"/>
    <col min="8" max="8" width="44" customWidth="1"/>
    <col min="9" max="9" width="24" customWidth="1"/>
    <col min="10" max="11" width="18" customWidth="1"/>
    <col min="12" max="12" width="24" customWidth="1"/>
    <col min="13" max="13" width="14" customWidth="1"/>
    <col min="14" max="14" width="42" customWidth="1"/>
  </cols>
  <sheetData>
    <row r="1" spans="1:14" ht="15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133</v>
      </c>
      <c r="J1" s="1" t="s">
        <v>169</v>
      </c>
      <c r="K1" s="1" t="s">
        <v>61</v>
      </c>
      <c r="L1" s="1" t="s">
        <v>63</v>
      </c>
      <c r="M1" s="1" t="s">
        <v>170</v>
      </c>
      <c r="N1" s="1" t="s">
        <v>68</v>
      </c>
    </row>
    <row r="2" spans="1:14" ht="42.75">
      <c r="A2" s="3" t="s">
        <v>171</v>
      </c>
      <c r="B2" s="3" t="s">
        <v>172</v>
      </c>
      <c r="C2" s="3" t="s">
        <v>173</v>
      </c>
      <c r="D2" s="3" t="s">
        <v>174</v>
      </c>
      <c r="E2" s="3" t="s">
        <v>175</v>
      </c>
      <c r="F2" s="3" t="s">
        <v>54</v>
      </c>
      <c r="G2" s="3" t="s">
        <v>176</v>
      </c>
      <c r="H2" s="3" t="s">
        <v>177</v>
      </c>
      <c r="I2" s="3"/>
      <c r="J2" s="3" t="s">
        <v>178</v>
      </c>
      <c r="K2" s="3" t="s">
        <v>179</v>
      </c>
      <c r="L2" s="3"/>
      <c r="M2" s="4">
        <v>46273</v>
      </c>
      <c r="N2" s="3" t="s">
        <v>180</v>
      </c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4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4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4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4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4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4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4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4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4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4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4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4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4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4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4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4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4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4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4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4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4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4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4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"/>
      <c r="N120" s="3"/>
    </row>
    <row r="12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3"/>
    </row>
    <row r="122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"/>
      <c r="N122" s="3"/>
    </row>
    <row r="123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4"/>
      <c r="N123" s="3"/>
    </row>
    <row r="124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4"/>
      <c r="N124" s="3"/>
    </row>
    <row r="125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4"/>
      <c r="N125" s="3"/>
    </row>
    <row r="126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"/>
      <c r="N126" s="3"/>
    </row>
    <row r="127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4"/>
      <c r="N127" s="3"/>
    </row>
    <row r="128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3"/>
    </row>
    <row r="129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"/>
      <c r="N129" s="3"/>
    </row>
    <row r="130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/>
      <c r="N130" s="3"/>
    </row>
    <row r="13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4"/>
      <c r="N131" s="3"/>
    </row>
    <row r="132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4"/>
      <c r="N132" s="3"/>
    </row>
    <row r="133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4"/>
      <c r="N133" s="3"/>
    </row>
    <row r="134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"/>
      <c r="N134" s="3"/>
    </row>
    <row r="135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"/>
      <c r="N135" s="3"/>
    </row>
    <row r="136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4"/>
      <c r="N136" s="3"/>
    </row>
    <row r="137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3"/>
    </row>
    <row r="138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3"/>
    </row>
    <row r="139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4"/>
      <c r="N139" s="3"/>
    </row>
    <row r="140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"/>
      <c r="N140" s="3"/>
    </row>
    <row r="14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4"/>
      <c r="N141" s="3"/>
    </row>
    <row r="142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"/>
      <c r="N142" s="3"/>
    </row>
    <row r="143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4"/>
      <c r="N143" s="3"/>
    </row>
    <row r="144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4"/>
      <c r="N144" s="3"/>
    </row>
    <row r="145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4"/>
      <c r="N145" s="3"/>
    </row>
    <row r="146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4"/>
      <c r="N146" s="3"/>
    </row>
    <row r="147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4"/>
      <c r="N147" s="3"/>
    </row>
    <row r="148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4"/>
      <c r="N148" s="3"/>
    </row>
    <row r="149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4"/>
      <c r="N149" s="3"/>
    </row>
    <row r="150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/>
      <c r="N150" s="3"/>
    </row>
    <row r="15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3"/>
    </row>
    <row r="152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"/>
      <c r="N152" s="3"/>
    </row>
    <row r="153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"/>
      <c r="N153" s="3"/>
    </row>
    <row r="154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4"/>
      <c r="N154" s="3"/>
    </row>
    <row r="155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4"/>
      <c r="N155" s="3"/>
    </row>
    <row r="156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4"/>
      <c r="N156" s="3"/>
    </row>
    <row r="157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4"/>
      <c r="N157" s="3"/>
    </row>
    <row r="158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"/>
      <c r="N158" s="3"/>
    </row>
    <row r="159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4"/>
      <c r="N159" s="3"/>
    </row>
    <row r="160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4"/>
      <c r="N160" s="3"/>
    </row>
    <row r="16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4"/>
      <c r="N161" s="3"/>
    </row>
    <row r="162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3"/>
    </row>
    <row r="163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4"/>
      <c r="N163" s="3"/>
    </row>
    <row r="164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3"/>
    </row>
    <row r="165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4"/>
      <c r="N165" s="3"/>
    </row>
    <row r="166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"/>
      <c r="N166" s="3"/>
    </row>
    <row r="167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4"/>
      <c r="N167" s="3"/>
    </row>
    <row r="168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"/>
      <c r="N168" s="3"/>
    </row>
    <row r="169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"/>
      <c r="N169" s="3"/>
    </row>
    <row r="170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3"/>
    </row>
    <row r="17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"/>
      <c r="N171" s="3"/>
    </row>
    <row r="172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/>
      <c r="N172" s="3"/>
    </row>
    <row r="173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"/>
      <c r="N173" s="3"/>
    </row>
    <row r="174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"/>
      <c r="N174" s="3"/>
    </row>
    <row r="175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4"/>
      <c r="N175" s="3"/>
    </row>
    <row r="176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"/>
      <c r="N176" s="3"/>
    </row>
    <row r="177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4"/>
      <c r="N177" s="3"/>
    </row>
    <row r="178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"/>
      <c r="N178" s="3"/>
    </row>
    <row r="179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4"/>
      <c r="N179" s="3"/>
    </row>
    <row r="180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4"/>
      <c r="N180" s="3"/>
    </row>
    <row r="18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4"/>
      <c r="N181" s="3"/>
    </row>
    <row r="182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"/>
      <c r="N182" s="3"/>
    </row>
    <row r="183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4"/>
      <c r="N183" s="3"/>
    </row>
    <row r="184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4"/>
      <c r="N184" s="3"/>
    </row>
    <row r="185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4"/>
      <c r="N185" s="3"/>
    </row>
    <row r="186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4"/>
      <c r="N186" s="3"/>
    </row>
    <row r="187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4"/>
      <c r="N187" s="3"/>
    </row>
    <row r="188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4"/>
      <c r="N188" s="3"/>
    </row>
    <row r="189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4"/>
      <c r="N189" s="3"/>
    </row>
    <row r="190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4"/>
      <c r="N190" s="3"/>
    </row>
    <row r="19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4"/>
      <c r="N191" s="3"/>
    </row>
    <row r="192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4"/>
      <c r="N192" s="3"/>
    </row>
    <row r="193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4"/>
      <c r="N193" s="3"/>
    </row>
    <row r="194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4"/>
      <c r="N194" s="3"/>
    </row>
    <row r="195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4"/>
      <c r="N195" s="3"/>
    </row>
    <row r="196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"/>
      <c r="N196" s="3"/>
    </row>
    <row r="197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4"/>
      <c r="N197" s="3"/>
    </row>
    <row r="198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"/>
      <c r="N198" s="3"/>
    </row>
    <row r="199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4"/>
      <c r="N199" s="3"/>
    </row>
    <row r="200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"/>
      <c r="N200" s="3"/>
    </row>
    <row r="20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"/>
      <c r="N201" s="3"/>
    </row>
    <row r="202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"/>
      <c r="N202" s="3"/>
    </row>
    <row r="203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4"/>
      <c r="N203" s="3"/>
    </row>
    <row r="204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"/>
      <c r="N204" s="3"/>
    </row>
    <row r="205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4"/>
      <c r="N205" s="3"/>
    </row>
    <row r="206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"/>
      <c r="N206" s="3"/>
    </row>
    <row r="207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4"/>
      <c r="N207" s="3"/>
    </row>
    <row r="208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"/>
      <c r="N208" s="3"/>
    </row>
    <row r="209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3"/>
    </row>
    <row r="210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"/>
      <c r="N210" s="3"/>
    </row>
    <row r="21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"/>
      <c r="N211" s="3"/>
    </row>
    <row r="212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"/>
      <c r="N212" s="3"/>
    </row>
    <row r="213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4"/>
      <c r="N213" s="3"/>
    </row>
    <row r="214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"/>
      <c r="N214" s="3"/>
    </row>
    <row r="215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4"/>
      <c r="N215" s="3"/>
    </row>
    <row r="216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"/>
      <c r="N216" s="3"/>
    </row>
    <row r="217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4"/>
      <c r="N217" s="3"/>
    </row>
    <row r="218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"/>
      <c r="N218" s="3"/>
    </row>
    <row r="219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4"/>
      <c r="N219" s="3"/>
    </row>
    <row r="220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"/>
      <c r="N220" s="3"/>
    </row>
    <row r="22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"/>
      <c r="N221" s="3"/>
    </row>
    <row r="222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"/>
      <c r="N222" s="3"/>
    </row>
    <row r="223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4"/>
      <c r="N223" s="3"/>
    </row>
    <row r="224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"/>
      <c r="N224" s="3"/>
    </row>
    <row r="225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4"/>
      <c r="N225" s="3"/>
    </row>
    <row r="226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"/>
      <c r="N226" s="3"/>
    </row>
    <row r="227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4"/>
      <c r="N227" s="3"/>
    </row>
    <row r="228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"/>
      <c r="N228" s="3"/>
    </row>
    <row r="229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4"/>
      <c r="N229" s="3"/>
    </row>
    <row r="230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4"/>
      <c r="N230" s="3"/>
    </row>
    <row r="23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4"/>
      <c r="N231" s="3"/>
    </row>
    <row r="232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4"/>
      <c r="N232" s="3"/>
    </row>
    <row r="233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4"/>
      <c r="N233" s="3"/>
    </row>
    <row r="234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"/>
      <c r="N234" s="3"/>
    </row>
    <row r="235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4"/>
      <c r="N235" s="3"/>
    </row>
    <row r="236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4"/>
      <c r="N236" s="3"/>
    </row>
    <row r="237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4"/>
      <c r="N237" s="3"/>
    </row>
    <row r="238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/>
      <c r="N238" s="3"/>
    </row>
    <row r="239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4"/>
      <c r="N239" s="3"/>
    </row>
    <row r="240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4"/>
      <c r="N240" s="3"/>
    </row>
    <row r="24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4"/>
      <c r="N241" s="3"/>
    </row>
    <row r="242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4"/>
      <c r="N242" s="3"/>
    </row>
    <row r="243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4"/>
      <c r="N243" s="3"/>
    </row>
    <row r="244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4"/>
      <c r="N244" s="3"/>
    </row>
    <row r="245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4"/>
      <c r="N245" s="3"/>
    </row>
    <row r="246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4"/>
      <c r="N246" s="3"/>
    </row>
    <row r="247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4"/>
      <c r="N247" s="3"/>
    </row>
    <row r="248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4"/>
      <c r="N248" s="3"/>
    </row>
    <row r="249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4"/>
      <c r="N249" s="3"/>
    </row>
    <row r="250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"/>
      <c r="N250" s="3"/>
    </row>
    <row r="25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4"/>
      <c r="N251" s="3"/>
    </row>
    <row r="252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"/>
      <c r="N252" s="3"/>
    </row>
    <row r="253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4"/>
      <c r="N253" s="3"/>
    </row>
    <row r="254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4"/>
      <c r="N254" s="3"/>
    </row>
    <row r="255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4"/>
      <c r="N255" s="3"/>
    </row>
    <row r="256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4"/>
      <c r="N256" s="3"/>
    </row>
    <row r="257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4"/>
      <c r="N257" s="3"/>
    </row>
    <row r="258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4"/>
      <c r="N258" s="3"/>
    </row>
    <row r="259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4"/>
      <c r="N259" s="3"/>
    </row>
    <row r="260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"/>
      <c r="N260" s="3"/>
    </row>
    <row r="261" spans="1:1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4"/>
      <c r="N261" s="3"/>
    </row>
    <row r="262" spans="1:1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"/>
      <c r="N262" s="3"/>
    </row>
    <row r="263" spans="1:1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4"/>
      <c r="N263" s="3"/>
    </row>
    <row r="264" spans="1:1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"/>
      <c r="N264" s="3"/>
    </row>
    <row r="265" spans="1:1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4"/>
      <c r="N265" s="3"/>
    </row>
    <row r="266" spans="1:1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"/>
      <c r="N266" s="3"/>
    </row>
    <row r="267" spans="1:1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4"/>
      <c r="N267" s="3"/>
    </row>
    <row r="268" spans="1:1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4"/>
      <c r="N268" s="3"/>
    </row>
    <row r="269" spans="1:1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4"/>
      <c r="N269" s="3"/>
    </row>
    <row r="270" spans="1:1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4"/>
      <c r="N270" s="3"/>
    </row>
    <row r="271" spans="1:1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4"/>
      <c r="N271" s="3"/>
    </row>
    <row r="272" spans="1:1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4"/>
      <c r="N272" s="3"/>
    </row>
    <row r="273" spans="1:1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4"/>
      <c r="N273" s="3"/>
    </row>
    <row r="274" spans="1:1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4"/>
      <c r="N274" s="3"/>
    </row>
    <row r="275" spans="1:1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4"/>
      <c r="N275" s="3"/>
    </row>
    <row r="276" spans="1:1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4"/>
      <c r="N276" s="3"/>
    </row>
    <row r="277" spans="1:1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4"/>
      <c r="N277" s="3"/>
    </row>
    <row r="278" spans="1:1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4"/>
      <c r="N278" s="3"/>
    </row>
    <row r="279" spans="1:1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4"/>
      <c r="N279" s="3"/>
    </row>
    <row r="280" spans="1:1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"/>
      <c r="N280" s="3"/>
    </row>
    <row r="281" spans="1:1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"/>
      <c r="N281" s="3"/>
    </row>
    <row r="282" spans="1:1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4"/>
      <c r="N282" s="3"/>
    </row>
    <row r="283" spans="1:1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4"/>
      <c r="N283" s="3"/>
    </row>
    <row r="284" spans="1:1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4"/>
      <c r="N284" s="3"/>
    </row>
    <row r="285" spans="1:1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4"/>
      <c r="N285" s="3"/>
    </row>
    <row r="286" spans="1:1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4"/>
      <c r="N286" s="3"/>
    </row>
    <row r="287" spans="1:1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4"/>
      <c r="N287" s="3"/>
    </row>
    <row r="288" spans="1:1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4"/>
      <c r="N288" s="3"/>
    </row>
    <row r="289" spans="1:1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4"/>
      <c r="N289" s="3"/>
    </row>
    <row r="290" spans="1:1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4"/>
      <c r="N290" s="3"/>
    </row>
    <row r="291" spans="1:1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4"/>
      <c r="N291" s="3"/>
    </row>
    <row r="292" spans="1:1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4"/>
      <c r="N292" s="3"/>
    </row>
    <row r="293" spans="1:1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4"/>
      <c r="N293" s="3"/>
    </row>
    <row r="294" spans="1:1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4"/>
      <c r="N294" s="3"/>
    </row>
    <row r="295" spans="1:1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4"/>
      <c r="N295" s="3"/>
    </row>
    <row r="296" spans="1:1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"/>
      <c r="N296" s="3"/>
    </row>
    <row r="297" spans="1:1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4"/>
      <c r="N297" s="3"/>
    </row>
    <row r="298" spans="1:1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"/>
      <c r="N298" s="3"/>
    </row>
    <row r="299" spans="1:1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4"/>
      <c r="N299" s="3"/>
    </row>
    <row r="300" spans="1:1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/>
      <c r="N300" s="3"/>
    </row>
    <row r="301" spans="1:1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4"/>
      <c r="N301" s="3"/>
    </row>
    <row r="302" spans="1:1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4"/>
      <c r="N302" s="3"/>
    </row>
    <row r="303" spans="1:1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4"/>
      <c r="N303" s="3"/>
    </row>
    <row r="304" spans="1:1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4"/>
      <c r="N304" s="3"/>
    </row>
    <row r="305" spans="1:1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4"/>
      <c r="N305" s="3"/>
    </row>
    <row r="306" spans="1:1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4"/>
      <c r="N306" s="3"/>
    </row>
    <row r="307" spans="1:1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4"/>
      <c r="N307" s="3"/>
    </row>
    <row r="308" spans="1:1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4"/>
      <c r="N308" s="3"/>
    </row>
    <row r="309" spans="1:1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4"/>
      <c r="N309" s="3"/>
    </row>
    <row r="310" spans="1:1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4"/>
      <c r="N310" s="3"/>
    </row>
    <row r="311" spans="1:1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4"/>
      <c r="N311" s="3"/>
    </row>
    <row r="312" spans="1:1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4"/>
      <c r="N312" s="3"/>
    </row>
    <row r="313" spans="1:1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4"/>
      <c r="N313" s="3"/>
    </row>
    <row r="314" spans="1: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4"/>
      <c r="N314" s="3"/>
    </row>
    <row r="315" spans="1:1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4"/>
      <c r="N315" s="3"/>
    </row>
    <row r="316" spans="1:1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4"/>
      <c r="N316" s="3"/>
    </row>
    <row r="317" spans="1:1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4"/>
      <c r="N317" s="3"/>
    </row>
    <row r="318" spans="1:1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4"/>
      <c r="N318" s="3"/>
    </row>
    <row r="319" spans="1:1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4"/>
      <c r="N319" s="3"/>
    </row>
    <row r="320" spans="1:1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4"/>
      <c r="N320" s="3"/>
    </row>
    <row r="321" spans="1:1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4"/>
      <c r="N321" s="3"/>
    </row>
    <row r="322" spans="1:1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4"/>
      <c r="N322" s="3"/>
    </row>
    <row r="323" spans="1:1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4"/>
      <c r="N323" s="3"/>
    </row>
    <row r="324" spans="1:1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"/>
      <c r="N324" s="3"/>
    </row>
    <row r="325" spans="1:1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4"/>
      <c r="N325" s="3"/>
    </row>
    <row r="326" spans="1:1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"/>
      <c r="N326" s="3"/>
    </row>
    <row r="327" spans="1:1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"/>
      <c r="N327" s="3"/>
    </row>
    <row r="328" spans="1:1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4"/>
      <c r="N328" s="3"/>
    </row>
    <row r="329" spans="1:1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4"/>
      <c r="N329" s="3"/>
    </row>
    <row r="330" spans="1:1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4"/>
      <c r="N330" s="3"/>
    </row>
    <row r="331" spans="1:1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4"/>
      <c r="N331" s="3"/>
    </row>
    <row r="332" spans="1:1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4"/>
      <c r="N332" s="3"/>
    </row>
    <row r="333" spans="1:1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"/>
      <c r="N333" s="3"/>
    </row>
    <row r="334" spans="1:1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4"/>
      <c r="N334" s="3"/>
    </row>
    <row r="335" spans="1:1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4"/>
      <c r="N335" s="3"/>
    </row>
    <row r="336" spans="1:1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"/>
      <c r="N336" s="3"/>
    </row>
    <row r="337" spans="1:1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"/>
      <c r="N337" s="3"/>
    </row>
    <row r="338" spans="1:1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4"/>
      <c r="N338" s="3"/>
    </row>
    <row r="339" spans="1:1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4"/>
      <c r="N339" s="3"/>
    </row>
    <row r="340" spans="1:1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4"/>
      <c r="N340" s="3"/>
    </row>
    <row r="341" spans="1:1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4"/>
      <c r="N341" s="3"/>
    </row>
    <row r="342" spans="1:1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4"/>
      <c r="N342" s="3"/>
    </row>
    <row r="343" spans="1:1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4"/>
      <c r="N343" s="3"/>
    </row>
    <row r="344" spans="1:1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4"/>
      <c r="N344" s="3"/>
    </row>
    <row r="345" spans="1:1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4"/>
      <c r="N345" s="3"/>
    </row>
    <row r="346" spans="1:1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4"/>
      <c r="N346" s="3"/>
    </row>
    <row r="347" spans="1:1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"/>
      <c r="N347" s="3"/>
    </row>
    <row r="348" spans="1:1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4"/>
      <c r="N348" s="3"/>
    </row>
    <row r="349" spans="1:1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4"/>
      <c r="N349" s="3"/>
    </row>
    <row r="350" spans="1:1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3"/>
    </row>
    <row r="351" spans="1:1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"/>
      <c r="N351" s="3"/>
    </row>
    <row r="352" spans="1:1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4"/>
      <c r="N352" s="3"/>
    </row>
    <row r="353" spans="1:1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4"/>
      <c r="N353" s="3"/>
    </row>
    <row r="354" spans="1:1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4"/>
      <c r="N354" s="3"/>
    </row>
    <row r="355" spans="1:1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4"/>
      <c r="N355" s="3"/>
    </row>
    <row r="356" spans="1:1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4"/>
      <c r="N356" s="3"/>
    </row>
    <row r="357" spans="1:1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4"/>
      <c r="N357" s="3"/>
    </row>
    <row r="358" spans="1:1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4"/>
      <c r="N358" s="3"/>
    </row>
    <row r="359" spans="1:1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4"/>
      <c r="N359" s="3"/>
    </row>
    <row r="360" spans="1:1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4"/>
      <c r="N360" s="3"/>
    </row>
    <row r="361" spans="1:1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4"/>
      <c r="N361" s="3"/>
    </row>
    <row r="362" spans="1:1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4"/>
      <c r="N362" s="3"/>
    </row>
    <row r="363" spans="1:1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"/>
      <c r="N363" s="3"/>
    </row>
    <row r="364" spans="1:1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4"/>
      <c r="N364" s="3"/>
    </row>
    <row r="365" spans="1:1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4"/>
      <c r="N365" s="3"/>
    </row>
    <row r="366" spans="1:1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4"/>
      <c r="N366" s="3"/>
    </row>
    <row r="367" spans="1:1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4"/>
      <c r="N367" s="3"/>
    </row>
    <row r="368" spans="1:1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4"/>
      <c r="N368" s="3"/>
    </row>
    <row r="369" spans="1:1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"/>
      <c r="N369" s="3"/>
    </row>
    <row r="370" spans="1:1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4"/>
      <c r="N370" s="3"/>
    </row>
    <row r="371" spans="1:1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4"/>
      <c r="N371" s="3"/>
    </row>
    <row r="372" spans="1:1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"/>
      <c r="N372" s="3"/>
    </row>
    <row r="373" spans="1:1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4"/>
      <c r="N373" s="3"/>
    </row>
    <row r="374" spans="1:1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4"/>
      <c r="N374" s="3"/>
    </row>
    <row r="375" spans="1:1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4"/>
      <c r="N375" s="3"/>
    </row>
    <row r="376" spans="1:1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4"/>
      <c r="N376" s="3"/>
    </row>
    <row r="377" spans="1:1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4"/>
      <c r="N377" s="3"/>
    </row>
    <row r="378" spans="1:1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4"/>
      <c r="N378" s="3"/>
    </row>
    <row r="379" spans="1:1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4"/>
      <c r="N379" s="3"/>
    </row>
    <row r="380" spans="1:1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4"/>
      <c r="N380" s="3"/>
    </row>
    <row r="381" spans="1:1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4"/>
      <c r="N381" s="3"/>
    </row>
    <row r="382" spans="1:1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4"/>
      <c r="N382" s="3"/>
    </row>
    <row r="383" spans="1:1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4"/>
      <c r="N383" s="3"/>
    </row>
    <row r="384" spans="1:1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4"/>
      <c r="N384" s="3"/>
    </row>
    <row r="385" spans="1:1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4"/>
      <c r="N385" s="3"/>
    </row>
    <row r="386" spans="1:1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4"/>
      <c r="N386" s="3"/>
    </row>
    <row r="387" spans="1:1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4"/>
      <c r="N387" s="3"/>
    </row>
    <row r="388" spans="1:1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4"/>
      <c r="N388" s="3"/>
    </row>
    <row r="389" spans="1:1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4"/>
      <c r="N389" s="3"/>
    </row>
    <row r="390" spans="1:1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4"/>
      <c r="N390" s="3"/>
    </row>
    <row r="391" spans="1:1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4"/>
      <c r="N391" s="3"/>
    </row>
    <row r="392" spans="1:1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4"/>
      <c r="N392" s="3"/>
    </row>
    <row r="393" spans="1:1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4"/>
      <c r="N393" s="3"/>
    </row>
    <row r="394" spans="1:1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4"/>
      <c r="N394" s="3"/>
    </row>
    <row r="395" spans="1:1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4"/>
      <c r="N395" s="3"/>
    </row>
    <row r="396" spans="1:1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4"/>
      <c r="N396" s="3"/>
    </row>
    <row r="397" spans="1:1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4"/>
      <c r="N397" s="3"/>
    </row>
    <row r="398" spans="1:1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4"/>
      <c r="N398" s="3"/>
    </row>
    <row r="399" spans="1:1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4"/>
      <c r="N399" s="3"/>
    </row>
    <row r="400" spans="1:1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4"/>
      <c r="N400" s="3"/>
    </row>
    <row r="401" spans="1:1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4"/>
      <c r="N401" s="3"/>
    </row>
    <row r="402" spans="1:1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4"/>
      <c r="N402" s="3"/>
    </row>
    <row r="403" spans="1:1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4"/>
      <c r="N403" s="3"/>
    </row>
    <row r="404" spans="1:1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4"/>
      <c r="N404" s="3"/>
    </row>
    <row r="405" spans="1:1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4"/>
      <c r="N405" s="3"/>
    </row>
    <row r="406" spans="1:1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4"/>
      <c r="N406" s="3"/>
    </row>
    <row r="407" spans="1:1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4"/>
      <c r="N407" s="3"/>
    </row>
    <row r="408" spans="1:1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4"/>
      <c r="N408" s="3"/>
    </row>
    <row r="409" spans="1:1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4"/>
      <c r="N409" s="3"/>
    </row>
    <row r="410" spans="1:1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4"/>
      <c r="N410" s="3"/>
    </row>
    <row r="411" spans="1:1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4"/>
      <c r="N411" s="3"/>
    </row>
    <row r="412" spans="1:1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4"/>
      <c r="N412" s="3"/>
    </row>
    <row r="413" spans="1:1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4"/>
      <c r="N413" s="3"/>
    </row>
    <row r="414" spans="1: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4"/>
      <c r="N414" s="3"/>
    </row>
    <row r="415" spans="1:1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4"/>
      <c r="N415" s="3"/>
    </row>
    <row r="416" spans="1:1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4"/>
      <c r="N416" s="3"/>
    </row>
    <row r="417" spans="1:1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4"/>
      <c r="N417" s="3"/>
    </row>
    <row r="418" spans="1:1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4"/>
      <c r="N418" s="3"/>
    </row>
    <row r="419" spans="1:1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4"/>
      <c r="N419" s="3"/>
    </row>
    <row r="420" spans="1:1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4"/>
      <c r="N420" s="3"/>
    </row>
    <row r="421" spans="1:1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4"/>
      <c r="N421" s="3"/>
    </row>
    <row r="422" spans="1:1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4"/>
      <c r="N422" s="3"/>
    </row>
    <row r="423" spans="1:1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4"/>
      <c r="N423" s="3"/>
    </row>
    <row r="424" spans="1:1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4"/>
      <c r="N424" s="3"/>
    </row>
    <row r="425" spans="1:1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4"/>
      <c r="N425" s="3"/>
    </row>
    <row r="426" spans="1:1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4"/>
      <c r="N426" s="3"/>
    </row>
    <row r="427" spans="1:1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4"/>
      <c r="N427" s="3"/>
    </row>
    <row r="428" spans="1:1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4"/>
      <c r="N428" s="3"/>
    </row>
    <row r="429" spans="1:1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4"/>
      <c r="N429" s="3"/>
    </row>
    <row r="430" spans="1:1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4"/>
      <c r="N430" s="3"/>
    </row>
    <row r="431" spans="1:1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4"/>
      <c r="N431" s="3"/>
    </row>
    <row r="432" spans="1:1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4"/>
      <c r="N432" s="3"/>
    </row>
    <row r="433" spans="1:1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4"/>
      <c r="N433" s="3"/>
    </row>
    <row r="434" spans="1:1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"/>
      <c r="N434" s="3"/>
    </row>
    <row r="435" spans="1:1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4"/>
      <c r="N435" s="3"/>
    </row>
    <row r="436" spans="1:1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4"/>
      <c r="N436" s="3"/>
    </row>
    <row r="437" spans="1:1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4"/>
      <c r="N437" s="3"/>
    </row>
    <row r="438" spans="1:1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4"/>
      <c r="N438" s="3"/>
    </row>
    <row r="439" spans="1:1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4"/>
      <c r="N439" s="3"/>
    </row>
    <row r="440" spans="1:1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4"/>
      <c r="N440" s="3"/>
    </row>
    <row r="441" spans="1:1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4"/>
      <c r="N441" s="3"/>
    </row>
    <row r="442" spans="1:1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4"/>
      <c r="N442" s="3"/>
    </row>
    <row r="443" spans="1:1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4"/>
      <c r="N443" s="3"/>
    </row>
    <row r="444" spans="1:1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4"/>
      <c r="N444" s="3"/>
    </row>
    <row r="445" spans="1:1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4"/>
      <c r="N445" s="3"/>
    </row>
    <row r="446" spans="1:1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4"/>
      <c r="N446" s="3"/>
    </row>
    <row r="447" spans="1:1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4"/>
      <c r="N447" s="3"/>
    </row>
    <row r="448" spans="1:1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4"/>
      <c r="N448" s="3"/>
    </row>
    <row r="449" spans="1:1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4"/>
      <c r="N449" s="3"/>
    </row>
    <row r="450" spans="1:1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4"/>
      <c r="N450" s="3"/>
    </row>
    <row r="451" spans="1:1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4"/>
      <c r="N451" s="3"/>
    </row>
    <row r="452" spans="1:1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4"/>
      <c r="N452" s="3"/>
    </row>
    <row r="453" spans="1:1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4"/>
      <c r="N453" s="3"/>
    </row>
    <row r="454" spans="1:1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4"/>
      <c r="N454" s="3"/>
    </row>
    <row r="455" spans="1:1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4"/>
      <c r="N455" s="3"/>
    </row>
    <row r="456" spans="1:1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4"/>
      <c r="N456" s="3"/>
    </row>
    <row r="457" spans="1:1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4"/>
      <c r="N457" s="3"/>
    </row>
    <row r="458" spans="1:1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4"/>
      <c r="N458" s="3"/>
    </row>
    <row r="459" spans="1:1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4"/>
      <c r="N459" s="3"/>
    </row>
    <row r="460" spans="1:1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4"/>
      <c r="N460" s="3"/>
    </row>
    <row r="461" spans="1:1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4"/>
      <c r="N461" s="3"/>
    </row>
    <row r="462" spans="1:1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4"/>
      <c r="N462" s="3"/>
    </row>
    <row r="463" spans="1:1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4"/>
      <c r="N463" s="3"/>
    </row>
    <row r="464" spans="1:1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4"/>
      <c r="N464" s="3"/>
    </row>
    <row r="465" spans="1:1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4"/>
      <c r="N465" s="3"/>
    </row>
    <row r="466" spans="1:1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4"/>
      <c r="N466" s="3"/>
    </row>
    <row r="467" spans="1:1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4"/>
      <c r="N467" s="3"/>
    </row>
    <row r="468" spans="1:1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4"/>
      <c r="N468" s="3"/>
    </row>
    <row r="469" spans="1:1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4"/>
      <c r="N469" s="3"/>
    </row>
    <row r="470" spans="1:1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4"/>
      <c r="N470" s="3"/>
    </row>
    <row r="471" spans="1:1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4"/>
      <c r="N471" s="3"/>
    </row>
    <row r="472" spans="1:1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4"/>
      <c r="N472" s="3"/>
    </row>
    <row r="473" spans="1:1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4"/>
      <c r="N473" s="3"/>
    </row>
    <row r="474" spans="1:1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4"/>
      <c r="N474" s="3"/>
    </row>
    <row r="475" spans="1:1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4"/>
      <c r="N475" s="3"/>
    </row>
    <row r="476" spans="1:1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4"/>
      <c r="N476" s="3"/>
    </row>
    <row r="477" spans="1:1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4"/>
      <c r="N477" s="3"/>
    </row>
    <row r="478" spans="1:1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4"/>
      <c r="N478" s="3"/>
    </row>
    <row r="479" spans="1:1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4"/>
      <c r="N479" s="3"/>
    </row>
    <row r="480" spans="1:1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4"/>
      <c r="N480" s="3"/>
    </row>
    <row r="481" spans="1:1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4"/>
      <c r="N481" s="3"/>
    </row>
    <row r="482" spans="1:1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4"/>
      <c r="N482" s="3"/>
    </row>
    <row r="483" spans="1:1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4"/>
      <c r="N483" s="3"/>
    </row>
    <row r="484" spans="1:1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4"/>
      <c r="N484" s="3"/>
    </row>
    <row r="485" spans="1:1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4"/>
      <c r="N485" s="3"/>
    </row>
    <row r="486" spans="1:1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4"/>
      <c r="N486" s="3"/>
    </row>
    <row r="487" spans="1:1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4"/>
      <c r="N487" s="3"/>
    </row>
    <row r="488" spans="1:1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4"/>
      <c r="N488" s="3"/>
    </row>
    <row r="489" spans="1:1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4"/>
      <c r="N489" s="3"/>
    </row>
    <row r="490" spans="1:1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4"/>
      <c r="N490" s="3"/>
    </row>
    <row r="491" spans="1:1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4"/>
      <c r="N491" s="3"/>
    </row>
    <row r="492" spans="1:1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4"/>
      <c r="N492" s="3"/>
    </row>
    <row r="493" spans="1:1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4"/>
      <c r="N493" s="3"/>
    </row>
    <row r="494" spans="1:1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4"/>
      <c r="N494" s="3"/>
    </row>
    <row r="495" spans="1:1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4"/>
      <c r="N495" s="3"/>
    </row>
    <row r="496" spans="1:1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4"/>
      <c r="N496" s="3"/>
    </row>
    <row r="497" spans="1:1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4"/>
      <c r="N497" s="3"/>
    </row>
    <row r="498" spans="1:1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4"/>
      <c r="N498" s="3"/>
    </row>
    <row r="499" spans="1:1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4"/>
      <c r="N499" s="3"/>
    </row>
    <row r="500" spans="1:1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4"/>
      <c r="N500" s="3"/>
    </row>
  </sheetData>
  <conditionalFormatting sqref="F2:F500">
    <cfRule type="expression" dxfId="4" priority="1">
      <formula>F2="REUSE"</formula>
    </cfRule>
    <cfRule type="expression" dxfId="3" priority="2">
      <formula>F2="REFACTOR"</formula>
    </cfRule>
    <cfRule type="expression" dxfId="2" priority="3">
      <formula>F2="REPLACE"</formula>
    </cfRule>
    <cfRule type="expression" dxfId="1" priority="4">
      <formula>F2="REMOVE"</formula>
    </cfRule>
    <cfRule type="expression" dxfId="0" priority="5">
      <formula>F2="INVESTIGATE"</formula>
    </cfRule>
  </conditionalFormatting>
  <dataValidations count="2">
    <dataValidation type="list" sqref="F2:F500" xr:uid="{00000000-0002-0000-0400-000000000000}">
      <formula1>"REUSE,REFACTOR,REPLACE,REMOVE,INVESTIGATE"</formula1>
    </dataValidation>
    <dataValidation type="list" sqref="K2:K500" xr:uid="{00000000-0002-0000-0400-000001000000}">
      <formula1>"Não iniciado,Em análise,Classificado,Revisão necessária,Fechado"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0"/>
  <sheetViews>
    <sheetView workbookViewId="0"/>
  </sheetViews>
  <sheetFormatPr defaultRowHeight="14.25"/>
  <cols>
    <col min="1" max="1" width="13" customWidth="1"/>
    <col min="2" max="2" width="20" customWidth="1"/>
    <col min="3" max="3" width="36" customWidth="1"/>
    <col min="4" max="4" width="76" customWidth="1"/>
    <col min="5" max="5" width="16" customWidth="1"/>
    <col min="6" max="6" width="14" customWidth="1"/>
    <col min="7" max="7" width="20" customWidth="1"/>
    <col min="8" max="8" width="18" customWidth="1"/>
    <col min="9" max="9" width="22" customWidth="1"/>
    <col min="10" max="10" width="18" customWidth="1"/>
    <col min="11" max="11" width="20" customWidth="1"/>
    <col min="12" max="12" width="36" customWidth="1"/>
  </cols>
  <sheetData>
    <row r="1" spans="1:12" ht="30">
      <c r="A1" s="1" t="s">
        <v>181</v>
      </c>
      <c r="B1" s="1" t="s">
        <v>163</v>
      </c>
      <c r="C1" s="1" t="s">
        <v>130</v>
      </c>
      <c r="D1" s="1" t="s">
        <v>182</v>
      </c>
      <c r="E1" s="1" t="s">
        <v>183</v>
      </c>
      <c r="F1" s="1" t="s">
        <v>60</v>
      </c>
      <c r="G1" s="1" t="s">
        <v>134</v>
      </c>
      <c r="H1" s="1" t="s">
        <v>169</v>
      </c>
      <c r="I1" s="1" t="s">
        <v>184</v>
      </c>
      <c r="J1" s="1" t="s">
        <v>139</v>
      </c>
      <c r="K1" s="1" t="s">
        <v>185</v>
      </c>
      <c r="L1" s="1" t="s">
        <v>68</v>
      </c>
    </row>
    <row r="2" spans="1:12" ht="28.5">
      <c r="A2" s="3" t="s">
        <v>186</v>
      </c>
      <c r="B2" s="3" t="s">
        <v>187</v>
      </c>
      <c r="C2" s="3" t="s">
        <v>188</v>
      </c>
      <c r="D2" s="3" t="s">
        <v>189</v>
      </c>
      <c r="E2" s="3" t="s">
        <v>190</v>
      </c>
      <c r="F2" s="3" t="s">
        <v>191</v>
      </c>
      <c r="G2" s="3"/>
      <c r="H2" s="3"/>
      <c r="I2" s="3"/>
      <c r="J2" s="3"/>
      <c r="K2" s="3" t="s">
        <v>80</v>
      </c>
      <c r="L2" s="3"/>
    </row>
    <row r="3" spans="1:12" ht="28.5">
      <c r="A3" s="3" t="s">
        <v>192</v>
      </c>
      <c r="B3" s="3" t="s">
        <v>187</v>
      </c>
      <c r="C3" s="3" t="s">
        <v>193</v>
      </c>
      <c r="D3" s="3" t="s">
        <v>194</v>
      </c>
      <c r="E3" s="3" t="s">
        <v>190</v>
      </c>
      <c r="F3" s="3" t="s">
        <v>191</v>
      </c>
      <c r="G3" s="3"/>
      <c r="H3" s="3"/>
      <c r="I3" s="3"/>
      <c r="J3" s="3"/>
      <c r="K3" s="3" t="s">
        <v>80</v>
      </c>
      <c r="L3" s="3"/>
    </row>
    <row r="4" spans="1:12">
      <c r="A4" s="3" t="s">
        <v>195</v>
      </c>
      <c r="B4" s="3" t="s">
        <v>187</v>
      </c>
      <c r="C4" s="3" t="s">
        <v>196</v>
      </c>
      <c r="D4" s="3" t="s">
        <v>197</v>
      </c>
      <c r="E4" s="3" t="s">
        <v>190</v>
      </c>
      <c r="F4" s="3" t="s">
        <v>191</v>
      </c>
      <c r="G4" s="3"/>
      <c r="H4" s="3"/>
      <c r="I4" s="3"/>
      <c r="J4" s="3"/>
      <c r="K4" s="3" t="s">
        <v>80</v>
      </c>
      <c r="L4" s="3"/>
    </row>
    <row r="5" spans="1:12" ht="28.5">
      <c r="A5" s="3" t="s">
        <v>198</v>
      </c>
      <c r="B5" s="3" t="s">
        <v>187</v>
      </c>
      <c r="C5" s="3" t="s">
        <v>199</v>
      </c>
      <c r="D5" s="3" t="s">
        <v>200</v>
      </c>
      <c r="E5" s="3" t="s">
        <v>190</v>
      </c>
      <c r="F5" s="3" t="s">
        <v>191</v>
      </c>
      <c r="G5" s="3"/>
      <c r="H5" s="3"/>
      <c r="I5" s="3"/>
      <c r="J5" s="3"/>
      <c r="K5" s="3" t="s">
        <v>80</v>
      </c>
      <c r="L5" s="3"/>
    </row>
    <row r="6" spans="1:12" ht="28.5">
      <c r="A6" s="3" t="s">
        <v>201</v>
      </c>
      <c r="B6" s="3" t="s">
        <v>187</v>
      </c>
      <c r="C6" s="3" t="s">
        <v>202</v>
      </c>
      <c r="D6" s="3" t="s">
        <v>203</v>
      </c>
      <c r="E6" s="3" t="s">
        <v>190</v>
      </c>
      <c r="F6" s="3" t="s">
        <v>191</v>
      </c>
      <c r="G6" s="3"/>
      <c r="H6" s="3"/>
      <c r="I6" s="3"/>
      <c r="J6" s="3"/>
      <c r="K6" s="3" t="s">
        <v>80</v>
      </c>
      <c r="L6" s="3"/>
    </row>
    <row r="7" spans="1:12" ht="28.5">
      <c r="A7" s="3" t="s">
        <v>204</v>
      </c>
      <c r="B7" s="3" t="s">
        <v>187</v>
      </c>
      <c r="C7" s="3" t="s">
        <v>205</v>
      </c>
      <c r="D7" s="3" t="s">
        <v>206</v>
      </c>
      <c r="E7" s="3" t="s">
        <v>190</v>
      </c>
      <c r="F7" s="3" t="s">
        <v>191</v>
      </c>
      <c r="G7" s="3"/>
      <c r="H7" s="3"/>
      <c r="I7" s="3"/>
      <c r="J7" s="3"/>
      <c r="K7" s="3" t="s">
        <v>80</v>
      </c>
      <c r="L7" s="3"/>
    </row>
    <row r="8" spans="1:12" ht="28.5">
      <c r="A8" s="3" t="s">
        <v>207</v>
      </c>
      <c r="B8" s="3" t="s">
        <v>187</v>
      </c>
      <c r="C8" s="3" t="s">
        <v>208</v>
      </c>
      <c r="D8" s="3" t="s">
        <v>209</v>
      </c>
      <c r="E8" s="3" t="s">
        <v>190</v>
      </c>
      <c r="F8" s="3" t="s">
        <v>191</v>
      </c>
      <c r="G8" s="3"/>
      <c r="H8" s="3"/>
      <c r="I8" s="3"/>
      <c r="J8" s="3"/>
      <c r="K8" s="3" t="s">
        <v>80</v>
      </c>
      <c r="L8" s="3"/>
    </row>
    <row r="9" spans="1:12" ht="28.5">
      <c r="A9" s="3" t="s">
        <v>210</v>
      </c>
      <c r="B9" s="3" t="s">
        <v>187</v>
      </c>
      <c r="C9" s="3" t="s">
        <v>211</v>
      </c>
      <c r="D9" s="3" t="s">
        <v>212</v>
      </c>
      <c r="E9" s="3" t="s">
        <v>190</v>
      </c>
      <c r="F9" s="3" t="s">
        <v>191</v>
      </c>
      <c r="G9" s="3"/>
      <c r="H9" s="3"/>
      <c r="I9" s="3"/>
      <c r="J9" s="3"/>
      <c r="K9" s="3" t="s">
        <v>80</v>
      </c>
      <c r="L9" s="3"/>
    </row>
    <row r="10" spans="1:12">
      <c r="A10" s="3" t="s">
        <v>213</v>
      </c>
      <c r="B10" s="3" t="s">
        <v>187</v>
      </c>
      <c r="C10" s="3" t="s">
        <v>214</v>
      </c>
      <c r="D10" s="3" t="s">
        <v>215</v>
      </c>
      <c r="E10" s="3" t="s">
        <v>190</v>
      </c>
      <c r="F10" s="3" t="s">
        <v>191</v>
      </c>
      <c r="G10" s="3"/>
      <c r="H10" s="3"/>
      <c r="I10" s="3"/>
      <c r="J10" s="3"/>
      <c r="K10" s="3" t="s">
        <v>80</v>
      </c>
      <c r="L10" s="3"/>
    </row>
    <row r="11" spans="1:12" ht="28.5">
      <c r="A11" s="3" t="s">
        <v>216</v>
      </c>
      <c r="B11" s="3" t="s">
        <v>187</v>
      </c>
      <c r="C11" s="3" t="s">
        <v>217</v>
      </c>
      <c r="D11" s="3" t="s">
        <v>218</v>
      </c>
      <c r="E11" s="3" t="s">
        <v>190</v>
      </c>
      <c r="F11" s="3" t="s">
        <v>191</v>
      </c>
      <c r="G11" s="3"/>
      <c r="H11" s="3"/>
      <c r="I11" s="3"/>
      <c r="J11" s="3"/>
      <c r="K11" s="3" t="s">
        <v>80</v>
      </c>
      <c r="L11" s="3"/>
    </row>
    <row r="12" spans="1:12" ht="28.5">
      <c r="A12" s="3" t="s">
        <v>219</v>
      </c>
      <c r="B12" s="3" t="s">
        <v>187</v>
      </c>
      <c r="C12" s="3" t="s">
        <v>220</v>
      </c>
      <c r="D12" s="3" t="s">
        <v>221</v>
      </c>
      <c r="E12" s="3" t="s">
        <v>190</v>
      </c>
      <c r="F12" s="3" t="s">
        <v>191</v>
      </c>
      <c r="G12" s="3"/>
      <c r="H12" s="3"/>
      <c r="I12" s="3"/>
      <c r="J12" s="3"/>
      <c r="K12" s="3" t="s">
        <v>80</v>
      </c>
      <c r="L12" s="3"/>
    </row>
    <row r="13" spans="1:12" ht="28.5">
      <c r="A13" s="3" t="s">
        <v>222</v>
      </c>
      <c r="B13" s="3" t="s">
        <v>187</v>
      </c>
      <c r="C13" s="3" t="s">
        <v>223</v>
      </c>
      <c r="D13" s="3" t="s">
        <v>224</v>
      </c>
      <c r="E13" s="3" t="s">
        <v>190</v>
      </c>
      <c r="F13" s="3" t="s">
        <v>191</v>
      </c>
      <c r="G13" s="3"/>
      <c r="H13" s="3"/>
      <c r="I13" s="3"/>
      <c r="J13" s="3"/>
      <c r="K13" s="3" t="s">
        <v>80</v>
      </c>
      <c r="L13" s="3"/>
    </row>
    <row r="14" spans="1:12" ht="28.5">
      <c r="A14" s="3" t="s">
        <v>225</v>
      </c>
      <c r="B14" s="3" t="s">
        <v>187</v>
      </c>
      <c r="C14" s="3" t="s">
        <v>226</v>
      </c>
      <c r="D14" s="3" t="s">
        <v>227</v>
      </c>
      <c r="E14" s="3" t="s">
        <v>190</v>
      </c>
      <c r="F14" s="3" t="s">
        <v>191</v>
      </c>
      <c r="G14" s="3"/>
      <c r="H14" s="3"/>
      <c r="I14" s="3"/>
      <c r="J14" s="3"/>
      <c r="K14" s="3" t="s">
        <v>80</v>
      </c>
      <c r="L14" s="3"/>
    </row>
    <row r="15" spans="1:12" ht="28.5">
      <c r="A15" s="3" t="s">
        <v>228</v>
      </c>
      <c r="B15" s="3" t="s">
        <v>187</v>
      </c>
      <c r="C15" s="3" t="s">
        <v>229</v>
      </c>
      <c r="D15" s="3" t="s">
        <v>230</v>
      </c>
      <c r="E15" s="3" t="s">
        <v>190</v>
      </c>
      <c r="F15" s="3" t="s">
        <v>191</v>
      </c>
      <c r="G15" s="3"/>
      <c r="H15" s="3"/>
      <c r="I15" s="3"/>
      <c r="J15" s="3"/>
      <c r="K15" s="3" t="s">
        <v>80</v>
      </c>
      <c r="L15" s="3"/>
    </row>
    <row r="16" spans="1:12" ht="28.5">
      <c r="A16" s="3" t="s">
        <v>231</v>
      </c>
      <c r="B16" s="3" t="s">
        <v>187</v>
      </c>
      <c r="C16" s="3" t="s">
        <v>232</v>
      </c>
      <c r="D16" s="3" t="s">
        <v>233</v>
      </c>
      <c r="E16" s="3" t="s">
        <v>190</v>
      </c>
      <c r="F16" s="3" t="s">
        <v>191</v>
      </c>
      <c r="G16" s="3"/>
      <c r="H16" s="3"/>
      <c r="I16" s="3"/>
      <c r="J16" s="3"/>
      <c r="K16" s="3" t="s">
        <v>80</v>
      </c>
      <c r="L16" s="3"/>
    </row>
    <row r="17" spans="1:12" ht="28.5">
      <c r="A17" s="3" t="s">
        <v>234</v>
      </c>
      <c r="B17" s="3" t="s">
        <v>187</v>
      </c>
      <c r="C17" s="3" t="s">
        <v>235</v>
      </c>
      <c r="D17" s="3" t="s">
        <v>236</v>
      </c>
      <c r="E17" s="3" t="s">
        <v>190</v>
      </c>
      <c r="F17" s="3" t="s">
        <v>191</v>
      </c>
      <c r="G17" s="3"/>
      <c r="H17" s="3"/>
      <c r="I17" s="3"/>
      <c r="J17" s="3"/>
      <c r="K17" s="3" t="s">
        <v>80</v>
      </c>
      <c r="L17" s="3"/>
    </row>
    <row r="18" spans="1:12" ht="28.5">
      <c r="A18" s="3" t="s">
        <v>237</v>
      </c>
      <c r="B18" s="3" t="s">
        <v>187</v>
      </c>
      <c r="C18" s="3" t="s">
        <v>238</v>
      </c>
      <c r="D18" s="3" t="s">
        <v>239</v>
      </c>
      <c r="E18" s="3" t="s">
        <v>190</v>
      </c>
      <c r="F18" s="3" t="s">
        <v>191</v>
      </c>
      <c r="G18" s="3"/>
      <c r="H18" s="3"/>
      <c r="I18" s="3"/>
      <c r="J18" s="3"/>
      <c r="K18" s="3" t="s">
        <v>80</v>
      </c>
      <c r="L18" s="3"/>
    </row>
    <row r="19" spans="1:12" ht="28.5">
      <c r="A19" s="3" t="s">
        <v>240</v>
      </c>
      <c r="B19" s="3" t="s">
        <v>187</v>
      </c>
      <c r="C19" s="3" t="s">
        <v>241</v>
      </c>
      <c r="D19" s="3" t="s">
        <v>242</v>
      </c>
      <c r="E19" s="3" t="s">
        <v>190</v>
      </c>
      <c r="F19" s="3" t="s">
        <v>191</v>
      </c>
      <c r="G19" s="3"/>
      <c r="H19" s="3"/>
      <c r="I19" s="3"/>
      <c r="J19" s="3"/>
      <c r="K19" s="3" t="s">
        <v>80</v>
      </c>
      <c r="L19" s="3"/>
    </row>
    <row r="20" spans="1:12" ht="42.75">
      <c r="A20" s="3" t="s">
        <v>243</v>
      </c>
      <c r="B20" s="3" t="s">
        <v>187</v>
      </c>
      <c r="C20" s="3" t="s">
        <v>244</v>
      </c>
      <c r="D20" s="3" t="s">
        <v>245</v>
      </c>
      <c r="E20" s="3" t="s">
        <v>190</v>
      </c>
      <c r="F20" s="3" t="s">
        <v>191</v>
      </c>
      <c r="G20" s="3"/>
      <c r="H20" s="3"/>
      <c r="I20" s="3"/>
      <c r="J20" s="3"/>
      <c r="K20" s="3" t="s">
        <v>80</v>
      </c>
      <c r="L20" s="3"/>
    </row>
    <row r="21" spans="1:12" ht="28.5">
      <c r="A21" s="3" t="s">
        <v>246</v>
      </c>
      <c r="B21" s="3" t="s">
        <v>187</v>
      </c>
      <c r="C21" s="3" t="s">
        <v>247</v>
      </c>
      <c r="D21" s="3" t="s">
        <v>248</v>
      </c>
      <c r="E21" s="3" t="s">
        <v>190</v>
      </c>
      <c r="F21" s="3" t="s">
        <v>191</v>
      </c>
      <c r="G21" s="3"/>
      <c r="H21" s="3"/>
      <c r="I21" s="3"/>
      <c r="J21" s="3"/>
      <c r="K21" s="3" t="s">
        <v>80</v>
      </c>
      <c r="L21" s="3"/>
    </row>
    <row r="22" spans="1:12" ht="28.5">
      <c r="A22" s="3" t="s">
        <v>249</v>
      </c>
      <c r="B22" s="3" t="s">
        <v>187</v>
      </c>
      <c r="C22" s="3" t="s">
        <v>250</v>
      </c>
      <c r="D22" s="3" t="s">
        <v>251</v>
      </c>
      <c r="E22" s="3" t="s">
        <v>190</v>
      </c>
      <c r="F22" s="3" t="s">
        <v>191</v>
      </c>
      <c r="G22" s="3"/>
      <c r="H22" s="3"/>
      <c r="I22" s="3"/>
      <c r="J22" s="3"/>
      <c r="K22" s="3" t="s">
        <v>80</v>
      </c>
      <c r="L22" s="3"/>
    </row>
    <row r="23" spans="1:12" ht="28.5">
      <c r="A23" s="3" t="s">
        <v>252</v>
      </c>
      <c r="B23" s="3" t="s">
        <v>187</v>
      </c>
      <c r="C23" s="3" t="s">
        <v>253</v>
      </c>
      <c r="D23" s="3" t="s">
        <v>254</v>
      </c>
      <c r="E23" s="3" t="s">
        <v>190</v>
      </c>
      <c r="F23" s="3" t="s">
        <v>191</v>
      </c>
      <c r="G23" s="3"/>
      <c r="H23" s="3"/>
      <c r="I23" s="3"/>
      <c r="J23" s="3"/>
      <c r="K23" s="3" t="s">
        <v>80</v>
      </c>
      <c r="L23" s="3"/>
    </row>
    <row r="24" spans="1:12" ht="28.5">
      <c r="A24" s="3" t="s">
        <v>255</v>
      </c>
      <c r="B24" s="3" t="s">
        <v>187</v>
      </c>
      <c r="C24" s="3" t="s">
        <v>256</v>
      </c>
      <c r="D24" s="3" t="s">
        <v>257</v>
      </c>
      <c r="E24" s="3" t="s">
        <v>190</v>
      </c>
      <c r="F24" s="3" t="s">
        <v>191</v>
      </c>
      <c r="G24" s="3"/>
      <c r="H24" s="3"/>
      <c r="I24" s="3"/>
      <c r="J24" s="3"/>
      <c r="K24" s="3" t="s">
        <v>80</v>
      </c>
      <c r="L24" s="3"/>
    </row>
    <row r="25" spans="1:12" ht="28.5">
      <c r="A25" s="3" t="s">
        <v>258</v>
      </c>
      <c r="B25" s="3" t="s">
        <v>187</v>
      </c>
      <c r="C25" s="3" t="s">
        <v>259</v>
      </c>
      <c r="D25" s="3" t="s">
        <v>260</v>
      </c>
      <c r="E25" s="3" t="s">
        <v>190</v>
      </c>
      <c r="F25" s="3" t="s">
        <v>191</v>
      </c>
      <c r="G25" s="3"/>
      <c r="H25" s="3"/>
      <c r="I25" s="3"/>
      <c r="J25" s="3"/>
      <c r="K25" s="3" t="s">
        <v>80</v>
      </c>
      <c r="L25" s="3"/>
    </row>
    <row r="26" spans="1:12" ht="28.5">
      <c r="A26" s="3" t="s">
        <v>261</v>
      </c>
      <c r="B26" s="3" t="s">
        <v>187</v>
      </c>
      <c r="C26" s="3" t="s">
        <v>262</v>
      </c>
      <c r="D26" s="3" t="s">
        <v>263</v>
      </c>
      <c r="E26" s="3" t="s">
        <v>190</v>
      </c>
      <c r="F26" s="3" t="s">
        <v>191</v>
      </c>
      <c r="G26" s="3"/>
      <c r="H26" s="3"/>
      <c r="I26" s="3"/>
      <c r="J26" s="3"/>
      <c r="K26" s="3" t="s">
        <v>80</v>
      </c>
      <c r="L26" s="3"/>
    </row>
    <row r="27" spans="1:12" ht="28.5">
      <c r="A27" s="3" t="s">
        <v>264</v>
      </c>
      <c r="B27" s="3" t="s">
        <v>187</v>
      </c>
      <c r="C27" s="3" t="s">
        <v>265</v>
      </c>
      <c r="D27" s="3" t="s">
        <v>266</v>
      </c>
      <c r="E27" s="3" t="s">
        <v>190</v>
      </c>
      <c r="F27" s="3" t="s">
        <v>191</v>
      </c>
      <c r="G27" s="3"/>
      <c r="H27" s="3"/>
      <c r="I27" s="3"/>
      <c r="J27" s="3"/>
      <c r="K27" s="3" t="s">
        <v>80</v>
      </c>
      <c r="L27" s="3"/>
    </row>
    <row r="28" spans="1:12" ht="28.5">
      <c r="A28" s="3" t="s">
        <v>267</v>
      </c>
      <c r="B28" s="3" t="s">
        <v>187</v>
      </c>
      <c r="C28" s="3" t="s">
        <v>268</v>
      </c>
      <c r="D28" s="3" t="s">
        <v>269</v>
      </c>
      <c r="E28" s="3" t="s">
        <v>190</v>
      </c>
      <c r="F28" s="3" t="s">
        <v>191</v>
      </c>
      <c r="G28" s="3"/>
      <c r="H28" s="3"/>
      <c r="I28" s="3"/>
      <c r="J28" s="3"/>
      <c r="K28" s="3" t="s">
        <v>80</v>
      </c>
      <c r="L28" s="3"/>
    </row>
    <row r="29" spans="1:12" ht="28.5">
      <c r="A29" s="3" t="s">
        <v>270</v>
      </c>
      <c r="B29" s="3" t="s">
        <v>187</v>
      </c>
      <c r="C29" s="3" t="s">
        <v>271</v>
      </c>
      <c r="D29" s="3" t="s">
        <v>272</v>
      </c>
      <c r="E29" s="3" t="s">
        <v>190</v>
      </c>
      <c r="F29" s="3" t="s">
        <v>191</v>
      </c>
      <c r="G29" s="3"/>
      <c r="H29" s="3"/>
      <c r="I29" s="3"/>
      <c r="J29" s="3"/>
      <c r="K29" s="3" t="s">
        <v>80</v>
      </c>
      <c r="L29" s="3"/>
    </row>
    <row r="30" spans="1:12" ht="42.75">
      <c r="A30" s="3" t="s">
        <v>273</v>
      </c>
      <c r="B30" s="3" t="s">
        <v>187</v>
      </c>
      <c r="C30" s="3" t="s">
        <v>274</v>
      </c>
      <c r="D30" s="3" t="s">
        <v>275</v>
      </c>
      <c r="E30" s="3" t="s">
        <v>190</v>
      </c>
      <c r="F30" s="3" t="s">
        <v>191</v>
      </c>
      <c r="G30" s="3"/>
      <c r="H30" s="3"/>
      <c r="I30" s="3"/>
      <c r="J30" s="3"/>
      <c r="K30" s="3" t="s">
        <v>80</v>
      </c>
      <c r="L30" s="3"/>
    </row>
    <row r="31" spans="1:12" ht="42.75">
      <c r="A31" s="3" t="s">
        <v>276</v>
      </c>
      <c r="B31" s="3" t="s">
        <v>187</v>
      </c>
      <c r="C31" s="3" t="s">
        <v>277</v>
      </c>
      <c r="D31" s="3" t="s">
        <v>278</v>
      </c>
      <c r="E31" s="3" t="s">
        <v>190</v>
      </c>
      <c r="F31" s="3" t="s">
        <v>191</v>
      </c>
      <c r="G31" s="3"/>
      <c r="H31" s="3"/>
      <c r="I31" s="3"/>
      <c r="J31" s="3"/>
      <c r="K31" s="3" t="s">
        <v>80</v>
      </c>
      <c r="L31" s="3"/>
    </row>
    <row r="32" spans="1:12" ht="42.75">
      <c r="A32" s="3" t="s">
        <v>279</v>
      </c>
      <c r="B32" s="3" t="s">
        <v>187</v>
      </c>
      <c r="C32" s="3" t="s">
        <v>280</v>
      </c>
      <c r="D32" s="3" t="s">
        <v>281</v>
      </c>
      <c r="E32" s="3" t="s">
        <v>190</v>
      </c>
      <c r="F32" s="3" t="s">
        <v>191</v>
      </c>
      <c r="G32" s="3"/>
      <c r="H32" s="3"/>
      <c r="I32" s="3"/>
      <c r="J32" s="3"/>
      <c r="K32" s="3" t="s">
        <v>80</v>
      </c>
      <c r="L32" s="3"/>
    </row>
    <row r="33" spans="1:12" ht="42.75">
      <c r="A33" s="3" t="s">
        <v>282</v>
      </c>
      <c r="B33" s="3" t="s">
        <v>187</v>
      </c>
      <c r="C33" s="3" t="s">
        <v>283</v>
      </c>
      <c r="D33" s="3" t="s">
        <v>284</v>
      </c>
      <c r="E33" s="3" t="s">
        <v>190</v>
      </c>
      <c r="F33" s="3" t="s">
        <v>191</v>
      </c>
      <c r="G33" s="3"/>
      <c r="H33" s="3"/>
      <c r="I33" s="3"/>
      <c r="J33" s="3"/>
      <c r="K33" s="3" t="s">
        <v>80</v>
      </c>
      <c r="L33" s="3"/>
    </row>
    <row r="34" spans="1:12" ht="42.75">
      <c r="A34" s="3" t="s">
        <v>285</v>
      </c>
      <c r="B34" s="3" t="s">
        <v>187</v>
      </c>
      <c r="C34" s="3" t="s">
        <v>286</v>
      </c>
      <c r="D34" s="3" t="s">
        <v>287</v>
      </c>
      <c r="E34" s="3" t="s">
        <v>190</v>
      </c>
      <c r="F34" s="3" t="s">
        <v>191</v>
      </c>
      <c r="G34" s="3"/>
      <c r="H34" s="3"/>
      <c r="I34" s="3"/>
      <c r="J34" s="3"/>
      <c r="K34" s="3" t="s">
        <v>80</v>
      </c>
      <c r="L34" s="3"/>
    </row>
    <row r="35" spans="1:12" ht="57">
      <c r="A35" s="3" t="s">
        <v>288</v>
      </c>
      <c r="B35" s="3" t="s">
        <v>187</v>
      </c>
      <c r="C35" s="3" t="s">
        <v>289</v>
      </c>
      <c r="D35" s="3" t="s">
        <v>290</v>
      </c>
      <c r="E35" s="3" t="s">
        <v>190</v>
      </c>
      <c r="F35" s="3" t="s">
        <v>191</v>
      </c>
      <c r="G35" s="3"/>
      <c r="H35" s="3"/>
      <c r="I35" s="3"/>
      <c r="J35" s="3"/>
      <c r="K35" s="3" t="s">
        <v>80</v>
      </c>
      <c r="L35" s="3"/>
    </row>
    <row r="36" spans="1:12" ht="71.25">
      <c r="A36" s="3" t="s">
        <v>291</v>
      </c>
      <c r="B36" s="3" t="s">
        <v>187</v>
      </c>
      <c r="C36" s="3" t="s">
        <v>292</v>
      </c>
      <c r="D36" s="3" t="s">
        <v>293</v>
      </c>
      <c r="E36" s="3" t="s">
        <v>190</v>
      </c>
      <c r="F36" s="3" t="s">
        <v>191</v>
      </c>
      <c r="G36" s="3"/>
      <c r="H36" s="3"/>
      <c r="I36" s="3"/>
      <c r="J36" s="3"/>
      <c r="K36" s="3" t="s">
        <v>80</v>
      </c>
      <c r="L36" s="3"/>
    </row>
    <row r="37" spans="1:12" ht="28.5">
      <c r="A37" s="3" t="s">
        <v>294</v>
      </c>
      <c r="B37" s="3" t="s">
        <v>295</v>
      </c>
      <c r="C37" s="3" t="s">
        <v>296</v>
      </c>
      <c r="D37" s="3" t="s">
        <v>297</v>
      </c>
      <c r="E37" s="3" t="s">
        <v>190</v>
      </c>
      <c r="F37" s="3" t="s">
        <v>298</v>
      </c>
      <c r="G37" s="3"/>
      <c r="H37" s="3"/>
      <c r="I37" s="3"/>
      <c r="J37" s="3"/>
      <c r="K37" s="3" t="s">
        <v>80</v>
      </c>
      <c r="L37" s="3"/>
    </row>
    <row r="38" spans="1:12">
      <c r="A38" s="3" t="s">
        <v>299</v>
      </c>
      <c r="B38" s="3" t="s">
        <v>295</v>
      </c>
      <c r="C38" s="3" t="s">
        <v>300</v>
      </c>
      <c r="D38" s="3" t="s">
        <v>301</v>
      </c>
      <c r="E38" s="3" t="s">
        <v>190</v>
      </c>
      <c r="F38" s="3" t="s">
        <v>298</v>
      </c>
      <c r="G38" s="3"/>
      <c r="H38" s="3"/>
      <c r="I38" s="3"/>
      <c r="J38" s="3"/>
      <c r="K38" s="3" t="s">
        <v>80</v>
      </c>
      <c r="L38" s="3"/>
    </row>
    <row r="39" spans="1:12" ht="28.5">
      <c r="A39" s="3" t="s">
        <v>302</v>
      </c>
      <c r="B39" s="3" t="s">
        <v>295</v>
      </c>
      <c r="C39" s="3" t="s">
        <v>303</v>
      </c>
      <c r="D39" s="3" t="s">
        <v>304</v>
      </c>
      <c r="E39" s="3" t="s">
        <v>190</v>
      </c>
      <c r="F39" s="3" t="s">
        <v>298</v>
      </c>
      <c r="G39" s="3"/>
      <c r="H39" s="3"/>
      <c r="I39" s="3"/>
      <c r="J39" s="3"/>
      <c r="K39" s="3" t="s">
        <v>80</v>
      </c>
      <c r="L39" s="3"/>
    </row>
    <row r="40" spans="1:12" ht="28.5">
      <c r="A40" s="3" t="s">
        <v>305</v>
      </c>
      <c r="B40" s="3" t="s">
        <v>295</v>
      </c>
      <c r="C40" s="3" t="s">
        <v>306</v>
      </c>
      <c r="D40" s="3" t="s">
        <v>307</v>
      </c>
      <c r="E40" s="3" t="s">
        <v>190</v>
      </c>
      <c r="F40" s="3" t="s">
        <v>298</v>
      </c>
      <c r="G40" s="3"/>
      <c r="H40" s="3"/>
      <c r="I40" s="3"/>
      <c r="J40" s="3"/>
      <c r="K40" s="3" t="s">
        <v>80</v>
      </c>
      <c r="L40" s="3"/>
    </row>
    <row r="41" spans="1:12" ht="28.5">
      <c r="A41" s="3" t="s">
        <v>308</v>
      </c>
      <c r="B41" s="3" t="s">
        <v>295</v>
      </c>
      <c r="C41" s="3" t="s">
        <v>309</v>
      </c>
      <c r="D41" s="3" t="s">
        <v>310</v>
      </c>
      <c r="E41" s="3" t="s">
        <v>190</v>
      </c>
      <c r="F41" s="3" t="s">
        <v>298</v>
      </c>
      <c r="G41" s="3"/>
      <c r="H41" s="3"/>
      <c r="I41" s="3"/>
      <c r="J41" s="3"/>
      <c r="K41" s="3" t="s">
        <v>80</v>
      </c>
      <c r="L41" s="3"/>
    </row>
    <row r="42" spans="1:12" ht="28.5">
      <c r="A42" s="3" t="s">
        <v>311</v>
      </c>
      <c r="B42" s="3" t="s">
        <v>295</v>
      </c>
      <c r="C42" s="3" t="s">
        <v>312</v>
      </c>
      <c r="D42" s="3" t="s">
        <v>313</v>
      </c>
      <c r="E42" s="3" t="s">
        <v>190</v>
      </c>
      <c r="F42" s="3" t="s">
        <v>298</v>
      </c>
      <c r="G42" s="3"/>
      <c r="H42" s="3"/>
      <c r="I42" s="3"/>
      <c r="J42" s="3"/>
      <c r="K42" s="3" t="s">
        <v>80</v>
      </c>
      <c r="L42" s="3"/>
    </row>
    <row r="43" spans="1:12" ht="28.5">
      <c r="A43" s="3" t="s">
        <v>314</v>
      </c>
      <c r="B43" s="3" t="s">
        <v>295</v>
      </c>
      <c r="C43" s="3" t="s">
        <v>315</v>
      </c>
      <c r="D43" s="3" t="s">
        <v>316</v>
      </c>
      <c r="E43" s="3" t="s">
        <v>190</v>
      </c>
      <c r="F43" s="3" t="s">
        <v>298</v>
      </c>
      <c r="G43" s="3"/>
      <c r="H43" s="3"/>
      <c r="I43" s="3"/>
      <c r="J43" s="3"/>
      <c r="K43" s="3" t="s">
        <v>80</v>
      </c>
      <c r="L43" s="3"/>
    </row>
    <row r="44" spans="1:12" ht="42.75">
      <c r="A44" s="3" t="s">
        <v>317</v>
      </c>
      <c r="B44" s="3" t="s">
        <v>295</v>
      </c>
      <c r="C44" s="3" t="s">
        <v>318</v>
      </c>
      <c r="D44" s="3" t="s">
        <v>319</v>
      </c>
      <c r="E44" s="3" t="s">
        <v>190</v>
      </c>
      <c r="F44" s="3" t="s">
        <v>298</v>
      </c>
      <c r="G44" s="3"/>
      <c r="H44" s="3"/>
      <c r="I44" s="3"/>
      <c r="J44" s="3"/>
      <c r="K44" s="3" t="s">
        <v>80</v>
      </c>
      <c r="L44" s="3"/>
    </row>
    <row r="45" spans="1:12" ht="28.5">
      <c r="A45" s="3" t="s">
        <v>320</v>
      </c>
      <c r="B45" s="3" t="s">
        <v>295</v>
      </c>
      <c r="C45" s="3" t="s">
        <v>321</v>
      </c>
      <c r="D45" s="3" t="s">
        <v>322</v>
      </c>
      <c r="E45" s="3" t="s">
        <v>190</v>
      </c>
      <c r="F45" s="3" t="s">
        <v>298</v>
      </c>
      <c r="G45" s="3"/>
      <c r="H45" s="3"/>
      <c r="I45" s="3"/>
      <c r="J45" s="3"/>
      <c r="K45" s="3" t="s">
        <v>80</v>
      </c>
      <c r="L45" s="3"/>
    </row>
    <row r="46" spans="1:12" ht="28.5">
      <c r="A46" s="3" t="s">
        <v>323</v>
      </c>
      <c r="B46" s="3" t="s">
        <v>295</v>
      </c>
      <c r="C46" s="3" t="s">
        <v>324</v>
      </c>
      <c r="D46" s="3" t="s">
        <v>325</v>
      </c>
      <c r="E46" s="3" t="s">
        <v>190</v>
      </c>
      <c r="F46" s="3" t="s">
        <v>298</v>
      </c>
      <c r="G46" s="3"/>
      <c r="H46" s="3"/>
      <c r="I46" s="3"/>
      <c r="J46" s="3"/>
      <c r="K46" s="3" t="s">
        <v>80</v>
      </c>
      <c r="L46" s="3"/>
    </row>
    <row r="47" spans="1:12" ht="28.5">
      <c r="A47" s="3" t="s">
        <v>326</v>
      </c>
      <c r="B47" s="3" t="s">
        <v>295</v>
      </c>
      <c r="C47" s="3" t="s">
        <v>327</v>
      </c>
      <c r="D47" s="3" t="s">
        <v>328</v>
      </c>
      <c r="E47" s="3" t="s">
        <v>190</v>
      </c>
      <c r="F47" s="3" t="s">
        <v>298</v>
      </c>
      <c r="G47" s="3"/>
      <c r="H47" s="3"/>
      <c r="I47" s="3"/>
      <c r="J47" s="3"/>
      <c r="K47" s="3" t="s">
        <v>80</v>
      </c>
      <c r="L47" s="3"/>
    </row>
    <row r="48" spans="1:12" ht="28.5">
      <c r="A48" s="3" t="s">
        <v>329</v>
      </c>
      <c r="B48" s="3" t="s">
        <v>295</v>
      </c>
      <c r="C48" s="3" t="s">
        <v>330</v>
      </c>
      <c r="D48" s="3" t="s">
        <v>331</v>
      </c>
      <c r="E48" s="3" t="s">
        <v>190</v>
      </c>
      <c r="F48" s="3" t="s">
        <v>298</v>
      </c>
      <c r="G48" s="3"/>
      <c r="H48" s="3"/>
      <c r="I48" s="3"/>
      <c r="J48" s="3"/>
      <c r="K48" s="3" t="s">
        <v>80</v>
      </c>
      <c r="L48" s="3"/>
    </row>
    <row r="49" spans="1:12" ht="28.5">
      <c r="A49" s="3" t="s">
        <v>332</v>
      </c>
      <c r="B49" s="3" t="s">
        <v>295</v>
      </c>
      <c r="C49" s="3" t="s">
        <v>333</v>
      </c>
      <c r="D49" s="3" t="s">
        <v>334</v>
      </c>
      <c r="E49" s="3" t="s">
        <v>190</v>
      </c>
      <c r="F49" s="3" t="s">
        <v>298</v>
      </c>
      <c r="G49" s="3"/>
      <c r="H49" s="3"/>
      <c r="I49" s="3"/>
      <c r="J49" s="3"/>
      <c r="K49" s="3" t="s">
        <v>80</v>
      </c>
      <c r="L49" s="3"/>
    </row>
    <row r="50" spans="1:12" ht="28.5">
      <c r="A50" s="3" t="s">
        <v>335</v>
      </c>
      <c r="B50" s="3" t="s">
        <v>295</v>
      </c>
      <c r="C50" s="3" t="s">
        <v>336</v>
      </c>
      <c r="D50" s="3" t="s">
        <v>337</v>
      </c>
      <c r="E50" s="3" t="s">
        <v>190</v>
      </c>
      <c r="F50" s="3" t="s">
        <v>298</v>
      </c>
      <c r="G50" s="3"/>
      <c r="H50" s="3"/>
      <c r="I50" s="3"/>
      <c r="J50" s="3"/>
      <c r="K50" s="3" t="s">
        <v>80</v>
      </c>
      <c r="L50" s="3"/>
    </row>
    <row r="51" spans="1:12" ht="28.5">
      <c r="A51" s="3" t="s">
        <v>338</v>
      </c>
      <c r="B51" s="3" t="s">
        <v>295</v>
      </c>
      <c r="C51" s="3" t="s">
        <v>339</v>
      </c>
      <c r="D51" s="3" t="s">
        <v>340</v>
      </c>
      <c r="E51" s="3" t="s">
        <v>190</v>
      </c>
      <c r="F51" s="3" t="s">
        <v>298</v>
      </c>
      <c r="G51" s="3"/>
      <c r="H51" s="3"/>
      <c r="I51" s="3"/>
      <c r="J51" s="3"/>
      <c r="K51" s="3" t="s">
        <v>80</v>
      </c>
      <c r="L51" s="3"/>
    </row>
    <row r="52" spans="1:12" ht="42.75">
      <c r="A52" s="3" t="s">
        <v>341</v>
      </c>
      <c r="B52" s="3" t="s">
        <v>295</v>
      </c>
      <c r="C52" s="3" t="s">
        <v>342</v>
      </c>
      <c r="D52" s="3" t="s">
        <v>343</v>
      </c>
      <c r="E52" s="3" t="s">
        <v>190</v>
      </c>
      <c r="F52" s="3" t="s">
        <v>298</v>
      </c>
      <c r="G52" s="3"/>
      <c r="H52" s="3"/>
      <c r="I52" s="3"/>
      <c r="J52" s="3"/>
      <c r="K52" s="3" t="s">
        <v>80</v>
      </c>
      <c r="L52" s="3"/>
    </row>
    <row r="53" spans="1:12" ht="42.75">
      <c r="A53" s="3" t="s">
        <v>344</v>
      </c>
      <c r="B53" s="3" t="s">
        <v>295</v>
      </c>
      <c r="C53" s="3" t="s">
        <v>345</v>
      </c>
      <c r="D53" s="3" t="s">
        <v>346</v>
      </c>
      <c r="E53" s="3" t="s">
        <v>190</v>
      </c>
      <c r="F53" s="3" t="s">
        <v>298</v>
      </c>
      <c r="G53" s="3"/>
      <c r="H53" s="3"/>
      <c r="I53" s="3"/>
      <c r="J53" s="3"/>
      <c r="K53" s="3" t="s">
        <v>80</v>
      </c>
      <c r="L53" s="3"/>
    </row>
    <row r="54" spans="1:12" ht="42.75">
      <c r="A54" s="3" t="s">
        <v>347</v>
      </c>
      <c r="B54" s="3" t="s">
        <v>295</v>
      </c>
      <c r="C54" s="3" t="s">
        <v>348</v>
      </c>
      <c r="D54" s="3" t="s">
        <v>349</v>
      </c>
      <c r="E54" s="3" t="s">
        <v>190</v>
      </c>
      <c r="F54" s="3" t="s">
        <v>298</v>
      </c>
      <c r="G54" s="3"/>
      <c r="H54" s="3"/>
      <c r="I54" s="3"/>
      <c r="J54" s="3"/>
      <c r="K54" s="3" t="s">
        <v>80</v>
      </c>
      <c r="L54" s="3"/>
    </row>
    <row r="55" spans="1:12" ht="42.75">
      <c r="A55" s="3" t="s">
        <v>350</v>
      </c>
      <c r="B55" s="3" t="s">
        <v>295</v>
      </c>
      <c r="C55" s="3" t="s">
        <v>351</v>
      </c>
      <c r="D55" s="3" t="s">
        <v>352</v>
      </c>
      <c r="E55" s="3" t="s">
        <v>190</v>
      </c>
      <c r="F55" s="3" t="s">
        <v>298</v>
      </c>
      <c r="G55" s="3"/>
      <c r="H55" s="3"/>
      <c r="I55" s="3"/>
      <c r="J55" s="3"/>
      <c r="K55" s="3" t="s">
        <v>80</v>
      </c>
      <c r="L55" s="3"/>
    </row>
    <row r="56" spans="1:12" ht="28.5">
      <c r="A56" s="3" t="s">
        <v>353</v>
      </c>
      <c r="B56" s="3" t="s">
        <v>295</v>
      </c>
      <c r="C56" s="3" t="s">
        <v>354</v>
      </c>
      <c r="D56" s="3" t="s">
        <v>355</v>
      </c>
      <c r="E56" s="3" t="s">
        <v>190</v>
      </c>
      <c r="F56" s="3" t="s">
        <v>298</v>
      </c>
      <c r="G56" s="3"/>
      <c r="H56" s="3"/>
      <c r="I56" s="3"/>
      <c r="J56" s="3"/>
      <c r="K56" s="3" t="s">
        <v>80</v>
      </c>
      <c r="L56" s="3"/>
    </row>
    <row r="57" spans="1:12" ht="42.75">
      <c r="A57" s="3" t="s">
        <v>356</v>
      </c>
      <c r="B57" s="3" t="s">
        <v>295</v>
      </c>
      <c r="C57" s="3" t="s">
        <v>357</v>
      </c>
      <c r="D57" s="3" t="s">
        <v>358</v>
      </c>
      <c r="E57" s="3" t="s">
        <v>190</v>
      </c>
      <c r="F57" s="3" t="s">
        <v>298</v>
      </c>
      <c r="G57" s="3"/>
      <c r="H57" s="3"/>
      <c r="I57" s="3"/>
      <c r="J57" s="3"/>
      <c r="K57" s="3" t="s">
        <v>80</v>
      </c>
      <c r="L57" s="3"/>
    </row>
    <row r="58" spans="1:12" ht="28.5">
      <c r="A58" s="3" t="s">
        <v>359</v>
      </c>
      <c r="B58" s="3" t="s">
        <v>295</v>
      </c>
      <c r="C58" s="3" t="s">
        <v>360</v>
      </c>
      <c r="D58" s="3" t="s">
        <v>361</v>
      </c>
      <c r="E58" s="3" t="s">
        <v>190</v>
      </c>
      <c r="F58" s="3" t="s">
        <v>298</v>
      </c>
      <c r="G58" s="3"/>
      <c r="H58" s="3"/>
      <c r="I58" s="3"/>
      <c r="J58" s="3"/>
      <c r="K58" s="3" t="s">
        <v>80</v>
      </c>
      <c r="L58" s="3"/>
    </row>
    <row r="59" spans="1:12" ht="42.75">
      <c r="A59" s="3" t="s">
        <v>362</v>
      </c>
      <c r="B59" s="3" t="s">
        <v>295</v>
      </c>
      <c r="C59" s="3" t="s">
        <v>363</v>
      </c>
      <c r="D59" s="3" t="s">
        <v>364</v>
      </c>
      <c r="E59" s="3" t="s">
        <v>190</v>
      </c>
      <c r="F59" s="3" t="s">
        <v>298</v>
      </c>
      <c r="G59" s="3"/>
      <c r="H59" s="3"/>
      <c r="I59" s="3"/>
      <c r="J59" s="3"/>
      <c r="K59" s="3" t="s">
        <v>80</v>
      </c>
      <c r="L59" s="3"/>
    </row>
    <row r="60" spans="1:12" ht="57">
      <c r="A60" s="3" t="s">
        <v>365</v>
      </c>
      <c r="B60" s="3" t="s">
        <v>295</v>
      </c>
      <c r="C60" s="3" t="s">
        <v>366</v>
      </c>
      <c r="D60" s="3" t="s">
        <v>367</v>
      </c>
      <c r="E60" s="3" t="s">
        <v>190</v>
      </c>
      <c r="F60" s="3" t="s">
        <v>298</v>
      </c>
      <c r="G60" s="3"/>
      <c r="H60" s="3"/>
      <c r="I60" s="3"/>
      <c r="J60" s="3"/>
      <c r="K60" s="3" t="s">
        <v>80</v>
      </c>
      <c r="L60" s="3"/>
    </row>
  </sheetData>
  <dataValidations count="1">
    <dataValidation type="list" sqref="K2:K200" xr:uid="{00000000-0002-0000-0500-000000000000}">
      <formula1>"Não iniciado,Parcial,Implementado,Verificado,Validado,Não aplicável,Superseded"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0"/>
  <sheetViews>
    <sheetView workbookViewId="0"/>
  </sheetViews>
  <sheetFormatPr defaultRowHeight="14.25"/>
  <cols>
    <col min="1" max="1" width="14" customWidth="1"/>
    <col min="2" max="2" width="20" customWidth="1"/>
    <col min="3" max="3" width="66" customWidth="1"/>
    <col min="4" max="4" width="22" customWidth="1"/>
    <col min="5" max="5" width="16" customWidth="1"/>
    <col min="6" max="6" width="22" customWidth="1"/>
    <col min="7" max="7" width="34" customWidth="1"/>
    <col min="8" max="8" width="18" customWidth="1"/>
    <col min="9" max="9" width="46" customWidth="1"/>
    <col min="10" max="10" width="24" customWidth="1"/>
    <col min="11" max="11" width="14" customWidth="1"/>
    <col min="12" max="12" width="40" customWidth="1"/>
  </cols>
  <sheetData>
    <row r="1" spans="1:12" ht="15">
      <c r="A1" s="1" t="s">
        <v>368</v>
      </c>
      <c r="B1" s="1" t="s">
        <v>163</v>
      </c>
      <c r="C1" s="1" t="s">
        <v>369</v>
      </c>
      <c r="D1" s="1" t="s">
        <v>61</v>
      </c>
      <c r="E1" s="1" t="s">
        <v>60</v>
      </c>
      <c r="F1" s="1" t="s">
        <v>133</v>
      </c>
      <c r="G1" s="1" t="s">
        <v>370</v>
      </c>
      <c r="H1" s="1" t="s">
        <v>371</v>
      </c>
      <c r="I1" s="1" t="s">
        <v>372</v>
      </c>
      <c r="J1" s="1" t="s">
        <v>63</v>
      </c>
      <c r="K1" s="1" t="s">
        <v>373</v>
      </c>
      <c r="L1" s="1" t="s">
        <v>68</v>
      </c>
    </row>
    <row r="2" spans="1:12">
      <c r="A2" s="3" t="s">
        <v>374</v>
      </c>
      <c r="B2" s="3" t="s">
        <v>375</v>
      </c>
      <c r="C2" s="3" t="s">
        <v>376</v>
      </c>
      <c r="D2" s="3" t="s">
        <v>377</v>
      </c>
      <c r="E2" s="3" t="s">
        <v>378</v>
      </c>
      <c r="F2" s="3"/>
      <c r="G2" s="3"/>
      <c r="H2" s="3"/>
      <c r="I2" s="3"/>
      <c r="J2" s="3"/>
      <c r="K2" s="4"/>
      <c r="L2" s="3"/>
    </row>
    <row r="3" spans="1:12">
      <c r="A3" s="3" t="s">
        <v>379</v>
      </c>
      <c r="B3" s="3" t="s">
        <v>375</v>
      </c>
      <c r="C3" s="3" t="s">
        <v>380</v>
      </c>
      <c r="D3" s="3" t="s">
        <v>377</v>
      </c>
      <c r="E3" s="3" t="s">
        <v>378</v>
      </c>
      <c r="F3" s="3"/>
      <c r="G3" s="3"/>
      <c r="H3" s="3"/>
      <c r="I3" s="3"/>
      <c r="J3" s="3"/>
      <c r="K3" s="4"/>
      <c r="L3" s="3"/>
    </row>
    <row r="4" spans="1:12">
      <c r="A4" s="3" t="s">
        <v>381</v>
      </c>
      <c r="B4" s="3" t="s">
        <v>375</v>
      </c>
      <c r="C4" s="3" t="s">
        <v>382</v>
      </c>
      <c r="D4" s="3" t="s">
        <v>377</v>
      </c>
      <c r="E4" s="3" t="s">
        <v>378</v>
      </c>
      <c r="F4" s="3"/>
      <c r="G4" s="3"/>
      <c r="H4" s="3"/>
      <c r="I4" s="3"/>
      <c r="J4" s="3"/>
      <c r="K4" s="4"/>
      <c r="L4" s="3"/>
    </row>
    <row r="5" spans="1:12">
      <c r="A5" s="3" t="s">
        <v>383</v>
      </c>
      <c r="B5" s="3" t="s">
        <v>375</v>
      </c>
      <c r="C5" s="3" t="s">
        <v>384</v>
      </c>
      <c r="D5" s="3" t="s">
        <v>377</v>
      </c>
      <c r="E5" s="3" t="s">
        <v>378</v>
      </c>
      <c r="F5" s="3"/>
      <c r="G5" s="3"/>
      <c r="H5" s="3"/>
      <c r="I5" s="3"/>
      <c r="J5" s="3"/>
      <c r="K5" s="4"/>
      <c r="L5" s="3"/>
    </row>
    <row r="6" spans="1:12" ht="28.5">
      <c r="A6" s="3" t="s">
        <v>385</v>
      </c>
      <c r="B6" s="3" t="s">
        <v>375</v>
      </c>
      <c r="C6" s="3" t="s">
        <v>386</v>
      </c>
      <c r="D6" s="3" t="s">
        <v>377</v>
      </c>
      <c r="E6" s="3" t="s">
        <v>378</v>
      </c>
      <c r="F6" s="3"/>
      <c r="G6" s="3"/>
      <c r="H6" s="3"/>
      <c r="I6" s="3"/>
      <c r="J6" s="3"/>
      <c r="K6" s="4"/>
      <c r="L6" s="3"/>
    </row>
    <row r="7" spans="1:12">
      <c r="A7" s="3" t="s">
        <v>387</v>
      </c>
      <c r="B7" s="3" t="s">
        <v>375</v>
      </c>
      <c r="C7" s="3" t="s">
        <v>388</v>
      </c>
      <c r="D7" s="3" t="s">
        <v>377</v>
      </c>
      <c r="E7" s="3" t="s">
        <v>378</v>
      </c>
      <c r="F7" s="3"/>
      <c r="G7" s="3"/>
      <c r="H7" s="3"/>
      <c r="I7" s="3"/>
      <c r="J7" s="3"/>
      <c r="K7" s="4"/>
      <c r="L7" s="3"/>
    </row>
    <row r="8" spans="1:12">
      <c r="A8" s="3" t="s">
        <v>389</v>
      </c>
      <c r="B8" s="3" t="s">
        <v>375</v>
      </c>
      <c r="C8" s="3" t="s">
        <v>390</v>
      </c>
      <c r="D8" s="3" t="s">
        <v>377</v>
      </c>
      <c r="E8" s="3" t="s">
        <v>378</v>
      </c>
      <c r="F8" s="3"/>
      <c r="G8" s="3"/>
      <c r="H8" s="3"/>
      <c r="I8" s="3"/>
      <c r="J8" s="3"/>
      <c r="K8" s="4"/>
      <c r="L8" s="3"/>
    </row>
    <row r="9" spans="1:12">
      <c r="A9" s="3" t="s">
        <v>391</v>
      </c>
      <c r="B9" s="3" t="s">
        <v>375</v>
      </c>
      <c r="C9" s="3" t="s">
        <v>392</v>
      </c>
      <c r="D9" s="3" t="s">
        <v>377</v>
      </c>
      <c r="E9" s="3" t="s">
        <v>378</v>
      </c>
      <c r="F9" s="3"/>
      <c r="G9" s="3"/>
      <c r="H9" s="3"/>
      <c r="I9" s="3"/>
      <c r="J9" s="3"/>
      <c r="K9" s="4"/>
      <c r="L9" s="3"/>
    </row>
    <row r="10" spans="1:12">
      <c r="A10" s="3" t="s">
        <v>393</v>
      </c>
      <c r="B10" s="3" t="s">
        <v>375</v>
      </c>
      <c r="C10" s="3" t="s">
        <v>394</v>
      </c>
      <c r="D10" s="3" t="s">
        <v>377</v>
      </c>
      <c r="E10" s="3" t="s">
        <v>378</v>
      </c>
      <c r="F10" s="3"/>
      <c r="G10" s="3"/>
      <c r="H10" s="3"/>
      <c r="I10" s="3"/>
      <c r="J10" s="3"/>
      <c r="K10" s="4"/>
      <c r="L10" s="3"/>
    </row>
    <row r="11" spans="1:12">
      <c r="A11" s="3" t="s">
        <v>395</v>
      </c>
      <c r="B11" s="3" t="s">
        <v>375</v>
      </c>
      <c r="C11" s="3" t="s">
        <v>396</v>
      </c>
      <c r="D11" s="3" t="s">
        <v>377</v>
      </c>
      <c r="E11" s="3" t="s">
        <v>378</v>
      </c>
      <c r="F11" s="3"/>
      <c r="G11" s="3"/>
      <c r="H11" s="3"/>
      <c r="I11" s="3"/>
      <c r="J11" s="3"/>
      <c r="K11" s="4"/>
      <c r="L11" s="3"/>
    </row>
    <row r="12" spans="1:12">
      <c r="A12" s="3" t="s">
        <v>397</v>
      </c>
      <c r="B12" s="3" t="s">
        <v>375</v>
      </c>
      <c r="C12" s="3" t="s">
        <v>398</v>
      </c>
      <c r="D12" s="3" t="s">
        <v>377</v>
      </c>
      <c r="E12" s="3" t="s">
        <v>378</v>
      </c>
      <c r="F12" s="3"/>
      <c r="G12" s="3"/>
      <c r="H12" s="3"/>
      <c r="I12" s="3"/>
      <c r="J12" s="3"/>
      <c r="K12" s="4"/>
      <c r="L12" s="3"/>
    </row>
    <row r="13" spans="1:12">
      <c r="A13" s="3" t="s">
        <v>399</v>
      </c>
      <c r="B13" s="3" t="s">
        <v>375</v>
      </c>
      <c r="C13" s="3" t="s">
        <v>400</v>
      </c>
      <c r="D13" s="3" t="s">
        <v>377</v>
      </c>
      <c r="E13" s="3" t="s">
        <v>378</v>
      </c>
      <c r="F13" s="3"/>
      <c r="G13" s="3"/>
      <c r="H13" s="3"/>
      <c r="I13" s="3"/>
      <c r="J13" s="3"/>
      <c r="K13" s="4"/>
      <c r="L13" s="3"/>
    </row>
    <row r="14" spans="1:12" ht="28.5">
      <c r="A14" s="3" t="s">
        <v>401</v>
      </c>
      <c r="B14" s="3" t="s">
        <v>375</v>
      </c>
      <c r="C14" s="3" t="s">
        <v>402</v>
      </c>
      <c r="D14" s="3" t="s">
        <v>377</v>
      </c>
      <c r="E14" s="3" t="s">
        <v>378</v>
      </c>
      <c r="F14" s="3"/>
      <c r="G14" s="3"/>
      <c r="H14" s="3"/>
      <c r="I14" s="3"/>
      <c r="J14" s="3"/>
      <c r="K14" s="4"/>
      <c r="L14" s="3"/>
    </row>
    <row r="15" spans="1:12" ht="28.5">
      <c r="A15" s="3" t="s">
        <v>403</v>
      </c>
      <c r="B15" s="3" t="s">
        <v>375</v>
      </c>
      <c r="C15" s="3" t="s">
        <v>404</v>
      </c>
      <c r="D15" s="3" t="s">
        <v>377</v>
      </c>
      <c r="E15" s="3" t="s">
        <v>378</v>
      </c>
      <c r="F15" s="3"/>
      <c r="G15" s="3"/>
      <c r="H15" s="3"/>
      <c r="I15" s="3"/>
      <c r="J15" s="3"/>
      <c r="K15" s="4"/>
      <c r="L15" s="3"/>
    </row>
    <row r="16" spans="1:12">
      <c r="A16" s="3" t="s">
        <v>405</v>
      </c>
      <c r="B16" s="3" t="s">
        <v>375</v>
      </c>
      <c r="C16" s="3" t="s">
        <v>406</v>
      </c>
      <c r="D16" s="3" t="s">
        <v>377</v>
      </c>
      <c r="E16" s="3" t="s">
        <v>378</v>
      </c>
      <c r="F16" s="3"/>
      <c r="G16" s="3"/>
      <c r="H16" s="3"/>
      <c r="I16" s="3"/>
      <c r="J16" s="3"/>
      <c r="K16" s="4"/>
      <c r="L16" s="3"/>
    </row>
    <row r="17" spans="1:12">
      <c r="A17" s="3" t="s">
        <v>407</v>
      </c>
      <c r="B17" s="3" t="s">
        <v>375</v>
      </c>
      <c r="C17" s="3" t="s">
        <v>408</v>
      </c>
      <c r="D17" s="3" t="s">
        <v>377</v>
      </c>
      <c r="E17" s="3" t="s">
        <v>378</v>
      </c>
      <c r="F17" s="3"/>
      <c r="G17" s="3"/>
      <c r="H17" s="3"/>
      <c r="I17" s="3"/>
      <c r="J17" s="3"/>
      <c r="K17" s="4"/>
      <c r="L17" s="3"/>
    </row>
    <row r="18" spans="1:12" ht="28.5">
      <c r="A18" s="3"/>
      <c r="B18" s="3" t="s">
        <v>409</v>
      </c>
      <c r="C18" s="3" t="s">
        <v>410</v>
      </c>
      <c r="D18" s="3" t="s">
        <v>411</v>
      </c>
      <c r="E18" s="3" t="s">
        <v>412</v>
      </c>
      <c r="F18" s="3"/>
      <c r="G18" s="3"/>
      <c r="H18" s="3"/>
      <c r="I18" s="3"/>
      <c r="J18" s="3"/>
      <c r="K18" s="4"/>
      <c r="L18" s="3" t="s">
        <v>413</v>
      </c>
    </row>
    <row r="19" spans="1:12" ht="28.5">
      <c r="A19" s="3"/>
      <c r="B19" s="3" t="s">
        <v>409</v>
      </c>
      <c r="C19" s="3" t="s">
        <v>414</v>
      </c>
      <c r="D19" s="3" t="s">
        <v>411</v>
      </c>
      <c r="E19" s="3" t="s">
        <v>412</v>
      </c>
      <c r="F19" s="3"/>
      <c r="G19" s="3"/>
      <c r="H19" s="3"/>
      <c r="I19" s="3"/>
      <c r="J19" s="3"/>
      <c r="K19" s="4"/>
      <c r="L19" s="3" t="s">
        <v>413</v>
      </c>
    </row>
    <row r="20" spans="1:12" ht="28.5">
      <c r="A20" s="3"/>
      <c r="B20" s="3" t="s">
        <v>409</v>
      </c>
      <c r="C20" s="3" t="s">
        <v>415</v>
      </c>
      <c r="D20" s="3" t="s">
        <v>411</v>
      </c>
      <c r="E20" s="3" t="s">
        <v>412</v>
      </c>
      <c r="F20" s="3"/>
      <c r="G20" s="3"/>
      <c r="H20" s="3"/>
      <c r="I20" s="3"/>
      <c r="J20" s="3"/>
      <c r="K20" s="4"/>
      <c r="L20" s="3" t="s">
        <v>413</v>
      </c>
    </row>
    <row r="21" spans="1:12" ht="28.5">
      <c r="A21" s="3"/>
      <c r="B21" s="3" t="s">
        <v>409</v>
      </c>
      <c r="C21" s="3" t="s">
        <v>416</v>
      </c>
      <c r="D21" s="3" t="s">
        <v>411</v>
      </c>
      <c r="E21" s="3" t="s">
        <v>412</v>
      </c>
      <c r="F21" s="3"/>
      <c r="G21" s="3"/>
      <c r="H21" s="3"/>
      <c r="I21" s="3"/>
      <c r="J21" s="3"/>
      <c r="K21" s="4"/>
      <c r="L21" s="3" t="s">
        <v>413</v>
      </c>
    </row>
    <row r="22" spans="1:12" ht="28.5">
      <c r="A22" s="3"/>
      <c r="B22" s="3" t="s">
        <v>409</v>
      </c>
      <c r="C22" s="3" t="s">
        <v>417</v>
      </c>
      <c r="D22" s="3" t="s">
        <v>411</v>
      </c>
      <c r="E22" s="3" t="s">
        <v>412</v>
      </c>
      <c r="F22" s="3"/>
      <c r="G22" s="3"/>
      <c r="H22" s="3"/>
      <c r="I22" s="3"/>
      <c r="J22" s="3"/>
      <c r="K22" s="4"/>
      <c r="L22" s="3" t="s">
        <v>413</v>
      </c>
    </row>
    <row r="23" spans="1:12" ht="28.5">
      <c r="A23" s="3"/>
      <c r="B23" s="3" t="s">
        <v>409</v>
      </c>
      <c r="C23" s="3" t="s">
        <v>418</v>
      </c>
      <c r="D23" s="3" t="s">
        <v>411</v>
      </c>
      <c r="E23" s="3" t="s">
        <v>412</v>
      </c>
      <c r="F23" s="3"/>
      <c r="G23" s="3"/>
      <c r="H23" s="3"/>
      <c r="I23" s="3"/>
      <c r="J23" s="3"/>
      <c r="K23" s="4"/>
      <c r="L23" s="3" t="s">
        <v>413</v>
      </c>
    </row>
    <row r="24" spans="1:12" ht="28.5">
      <c r="A24" s="3"/>
      <c r="B24" s="3" t="s">
        <v>409</v>
      </c>
      <c r="C24" s="3" t="s">
        <v>419</v>
      </c>
      <c r="D24" s="3" t="s">
        <v>411</v>
      </c>
      <c r="E24" s="3" t="s">
        <v>412</v>
      </c>
      <c r="F24" s="3"/>
      <c r="G24" s="3"/>
      <c r="H24" s="3"/>
      <c r="I24" s="3"/>
      <c r="J24" s="3"/>
      <c r="K24" s="4"/>
      <c r="L24" s="3" t="s">
        <v>413</v>
      </c>
    </row>
    <row r="25" spans="1:12" ht="28.5">
      <c r="A25" s="3"/>
      <c r="B25" s="3" t="s">
        <v>409</v>
      </c>
      <c r="C25" s="3" t="s">
        <v>420</v>
      </c>
      <c r="D25" s="3" t="s">
        <v>411</v>
      </c>
      <c r="E25" s="3" t="s">
        <v>412</v>
      </c>
      <c r="F25" s="3"/>
      <c r="G25" s="3"/>
      <c r="H25" s="3"/>
      <c r="I25" s="3"/>
      <c r="J25" s="3"/>
      <c r="K25" s="4"/>
      <c r="L25" s="3" t="s">
        <v>413</v>
      </c>
    </row>
    <row r="26" spans="1:12" ht="28.5">
      <c r="A26" s="3"/>
      <c r="B26" s="3" t="s">
        <v>409</v>
      </c>
      <c r="C26" s="3" t="s">
        <v>421</v>
      </c>
      <c r="D26" s="3" t="s">
        <v>411</v>
      </c>
      <c r="E26" s="3" t="s">
        <v>412</v>
      </c>
      <c r="F26" s="3"/>
      <c r="G26" s="3"/>
      <c r="H26" s="3"/>
      <c r="I26" s="3"/>
      <c r="J26" s="3"/>
      <c r="K26" s="4"/>
      <c r="L26" s="3" t="s">
        <v>413</v>
      </c>
    </row>
    <row r="27" spans="1:12" ht="28.5">
      <c r="A27" s="3"/>
      <c r="B27" s="3" t="s">
        <v>409</v>
      </c>
      <c r="C27" s="3" t="s">
        <v>422</v>
      </c>
      <c r="D27" s="3" t="s">
        <v>411</v>
      </c>
      <c r="E27" s="3" t="s">
        <v>412</v>
      </c>
      <c r="F27" s="3"/>
      <c r="G27" s="3"/>
      <c r="H27" s="3"/>
      <c r="I27" s="3"/>
      <c r="J27" s="3"/>
      <c r="K27" s="4"/>
      <c r="L27" s="3" t="s">
        <v>413</v>
      </c>
    </row>
    <row r="28" spans="1:12">
      <c r="K28" s="6"/>
    </row>
    <row r="29" spans="1:12">
      <c r="K29" s="6"/>
    </row>
    <row r="30" spans="1:12">
      <c r="K30" s="6"/>
    </row>
    <row r="31" spans="1:12">
      <c r="K31" s="6"/>
    </row>
    <row r="32" spans="1:12">
      <c r="K32" s="6"/>
    </row>
    <row r="33" spans="11:11">
      <c r="K33" s="6"/>
    </row>
    <row r="34" spans="11:11">
      <c r="K34" s="6"/>
    </row>
    <row r="35" spans="11:11">
      <c r="K35" s="6"/>
    </row>
    <row r="36" spans="11:11">
      <c r="K36" s="6"/>
    </row>
    <row r="37" spans="11:11">
      <c r="K37" s="6"/>
    </row>
    <row r="38" spans="11:11">
      <c r="K38" s="6"/>
    </row>
    <row r="39" spans="11:11">
      <c r="K39" s="6"/>
    </row>
    <row r="40" spans="11:11">
      <c r="K40" s="6"/>
    </row>
    <row r="41" spans="11:11">
      <c r="K41" s="6"/>
    </row>
    <row r="42" spans="11:11">
      <c r="K42" s="6"/>
    </row>
    <row r="43" spans="11:11">
      <c r="K43" s="6"/>
    </row>
    <row r="44" spans="11:11">
      <c r="K44" s="6"/>
    </row>
    <row r="45" spans="11:11">
      <c r="K45" s="6"/>
    </row>
    <row r="46" spans="11:11">
      <c r="K46" s="6"/>
    </row>
    <row r="47" spans="11:11">
      <c r="K47" s="6"/>
    </row>
    <row r="48" spans="11:11">
      <c r="K48" s="6"/>
    </row>
    <row r="49" spans="11:11">
      <c r="K49" s="6"/>
    </row>
    <row r="50" spans="11:11">
      <c r="K50" s="6"/>
    </row>
    <row r="51" spans="11:11">
      <c r="K51" s="6"/>
    </row>
    <row r="52" spans="11:11">
      <c r="K52" s="6"/>
    </row>
    <row r="53" spans="11:11">
      <c r="K53" s="6"/>
    </row>
    <row r="54" spans="11:11">
      <c r="K54" s="6"/>
    </row>
    <row r="55" spans="11:11">
      <c r="K55" s="6"/>
    </row>
    <row r="56" spans="11:11">
      <c r="K56" s="6"/>
    </row>
    <row r="57" spans="11:11">
      <c r="K57" s="6"/>
    </row>
    <row r="58" spans="11:11">
      <c r="K58" s="6"/>
    </row>
    <row r="59" spans="11:11">
      <c r="K59" s="6"/>
    </row>
    <row r="60" spans="11:11">
      <c r="K60" s="6"/>
    </row>
    <row r="61" spans="11:11">
      <c r="K61" s="6"/>
    </row>
    <row r="62" spans="11:11">
      <c r="K62" s="6"/>
    </row>
    <row r="63" spans="11:11">
      <c r="K63" s="6"/>
    </row>
    <row r="64" spans="11:11">
      <c r="K64" s="6"/>
    </row>
    <row r="65" spans="11:11">
      <c r="K65" s="6"/>
    </row>
    <row r="66" spans="11:11">
      <c r="K66" s="6"/>
    </row>
    <row r="67" spans="11:11">
      <c r="K67" s="6"/>
    </row>
    <row r="68" spans="11:11">
      <c r="K68" s="6"/>
    </row>
    <row r="69" spans="11:11">
      <c r="K69" s="6"/>
    </row>
    <row r="70" spans="11:11">
      <c r="K70" s="6"/>
    </row>
    <row r="71" spans="11:11">
      <c r="K71" s="6"/>
    </row>
    <row r="72" spans="11:11">
      <c r="K72" s="6"/>
    </row>
    <row r="73" spans="11:11">
      <c r="K73" s="6"/>
    </row>
    <row r="74" spans="11:11">
      <c r="K74" s="6"/>
    </row>
    <row r="75" spans="11:11">
      <c r="K75" s="6"/>
    </row>
    <row r="76" spans="11:11">
      <c r="K76" s="6"/>
    </row>
    <row r="77" spans="11:11">
      <c r="K77" s="6"/>
    </row>
    <row r="78" spans="11:11">
      <c r="K78" s="6"/>
    </row>
    <row r="79" spans="11:11">
      <c r="K79" s="6"/>
    </row>
    <row r="80" spans="11:11">
      <c r="K80" s="6"/>
    </row>
    <row r="81" spans="11:11">
      <c r="K81" s="6"/>
    </row>
    <row r="82" spans="11:11">
      <c r="K82" s="6"/>
    </row>
    <row r="83" spans="11:11">
      <c r="K83" s="6"/>
    </row>
    <row r="84" spans="11:11">
      <c r="K84" s="6"/>
    </row>
    <row r="85" spans="11:11">
      <c r="K85" s="6"/>
    </row>
    <row r="86" spans="11:11">
      <c r="K86" s="6"/>
    </row>
    <row r="87" spans="11:11">
      <c r="K87" s="6"/>
    </row>
    <row r="88" spans="11:11">
      <c r="K88" s="6"/>
    </row>
    <row r="89" spans="11:11">
      <c r="K89" s="6"/>
    </row>
    <row r="90" spans="11:11">
      <c r="K90" s="6"/>
    </row>
    <row r="91" spans="11:11">
      <c r="K91" s="6"/>
    </row>
    <row r="92" spans="11:11">
      <c r="K92" s="6"/>
    </row>
    <row r="93" spans="11:11">
      <c r="K93" s="6"/>
    </row>
    <row r="94" spans="11:11">
      <c r="K94" s="6"/>
    </row>
    <row r="95" spans="11:11">
      <c r="K95" s="6"/>
    </row>
    <row r="96" spans="11:11">
      <c r="K96" s="6"/>
    </row>
    <row r="97" spans="11:11">
      <c r="K97" s="6"/>
    </row>
    <row r="98" spans="11:11">
      <c r="K98" s="6"/>
    </row>
    <row r="99" spans="11:11">
      <c r="K99" s="6"/>
    </row>
    <row r="100" spans="11:11">
      <c r="K100" s="6"/>
    </row>
    <row r="101" spans="11:11">
      <c r="K101" s="6"/>
    </row>
    <row r="102" spans="11:11">
      <c r="K102" s="6"/>
    </row>
    <row r="103" spans="11:11">
      <c r="K103" s="6"/>
    </row>
    <row r="104" spans="11:11">
      <c r="K104" s="6"/>
    </row>
    <row r="105" spans="11:11">
      <c r="K105" s="6"/>
    </row>
    <row r="106" spans="11:11">
      <c r="K106" s="6"/>
    </row>
    <row r="107" spans="11:11">
      <c r="K107" s="6"/>
    </row>
    <row r="108" spans="11:11">
      <c r="K108" s="6"/>
    </row>
    <row r="109" spans="11:11">
      <c r="K109" s="6"/>
    </row>
    <row r="110" spans="11:11">
      <c r="K110" s="6"/>
    </row>
    <row r="111" spans="11:11">
      <c r="K111" s="6"/>
    </row>
    <row r="112" spans="11:11">
      <c r="K112" s="6"/>
    </row>
    <row r="113" spans="11:11">
      <c r="K113" s="6"/>
    </row>
    <row r="114" spans="11:11">
      <c r="K114" s="6"/>
    </row>
    <row r="115" spans="11:11">
      <c r="K115" s="6"/>
    </row>
    <row r="116" spans="11:11">
      <c r="K116" s="6"/>
    </row>
    <row r="117" spans="11:11">
      <c r="K117" s="6"/>
    </row>
    <row r="118" spans="11:11">
      <c r="K118" s="6"/>
    </row>
    <row r="119" spans="11:11">
      <c r="K119" s="6"/>
    </row>
    <row r="120" spans="11:11">
      <c r="K120" s="6"/>
    </row>
    <row r="121" spans="11:11">
      <c r="K121" s="6"/>
    </row>
    <row r="122" spans="11:11">
      <c r="K122" s="6"/>
    </row>
    <row r="123" spans="11:11">
      <c r="K123" s="6"/>
    </row>
    <row r="124" spans="11:11">
      <c r="K124" s="6"/>
    </row>
    <row r="125" spans="11:11">
      <c r="K125" s="6"/>
    </row>
    <row r="126" spans="11:11">
      <c r="K126" s="6"/>
    </row>
    <row r="127" spans="11:11">
      <c r="K127" s="6"/>
    </row>
    <row r="128" spans="11:11">
      <c r="K128" s="6"/>
    </row>
    <row r="129" spans="11:11">
      <c r="K129" s="6"/>
    </row>
    <row r="130" spans="11:11">
      <c r="K130" s="6"/>
    </row>
    <row r="131" spans="11:11">
      <c r="K131" s="6"/>
    </row>
    <row r="132" spans="11:11">
      <c r="K132" s="6"/>
    </row>
    <row r="133" spans="11:11">
      <c r="K133" s="6"/>
    </row>
    <row r="134" spans="11:11">
      <c r="K134" s="6"/>
    </row>
    <row r="135" spans="11:11">
      <c r="K135" s="6"/>
    </row>
    <row r="136" spans="11:11">
      <c r="K136" s="6"/>
    </row>
    <row r="137" spans="11:11">
      <c r="K137" s="6"/>
    </row>
    <row r="138" spans="11:11">
      <c r="K138" s="6"/>
    </row>
    <row r="139" spans="11:11">
      <c r="K139" s="6"/>
    </row>
    <row r="140" spans="11:11">
      <c r="K140" s="6"/>
    </row>
    <row r="141" spans="11:11">
      <c r="K141" s="6"/>
    </row>
    <row r="142" spans="11:11">
      <c r="K142" s="6"/>
    </row>
    <row r="143" spans="11:11">
      <c r="K143" s="6"/>
    </row>
    <row r="144" spans="11:11">
      <c r="K144" s="6"/>
    </row>
    <row r="145" spans="11:11">
      <c r="K145" s="6"/>
    </row>
    <row r="146" spans="11:11">
      <c r="K146" s="6"/>
    </row>
    <row r="147" spans="11:11">
      <c r="K147" s="6"/>
    </row>
    <row r="148" spans="11:11">
      <c r="K148" s="6"/>
    </row>
    <row r="149" spans="11:11">
      <c r="K149" s="6"/>
    </row>
    <row r="150" spans="11:11">
      <c r="K150" s="6"/>
    </row>
    <row r="151" spans="11:11">
      <c r="K151" s="6"/>
    </row>
    <row r="152" spans="11:11">
      <c r="K152" s="6"/>
    </row>
    <row r="153" spans="11:11">
      <c r="K153" s="6"/>
    </row>
    <row r="154" spans="11:11">
      <c r="K154" s="6"/>
    </row>
    <row r="155" spans="11:11">
      <c r="K155" s="6"/>
    </row>
    <row r="156" spans="11:11">
      <c r="K156" s="6"/>
    </row>
    <row r="157" spans="11:11">
      <c r="K157" s="6"/>
    </row>
    <row r="158" spans="11:11">
      <c r="K158" s="6"/>
    </row>
    <row r="159" spans="11:11">
      <c r="K159" s="6"/>
    </row>
    <row r="160" spans="11:11">
      <c r="K160" s="6"/>
    </row>
    <row r="161" spans="11:11">
      <c r="K161" s="6"/>
    </row>
    <row r="162" spans="11:11">
      <c r="K162" s="6"/>
    </row>
    <row r="163" spans="11:11">
      <c r="K163" s="6"/>
    </row>
    <row r="164" spans="11:11">
      <c r="K164" s="6"/>
    </row>
    <row r="165" spans="11:11">
      <c r="K165" s="6"/>
    </row>
    <row r="166" spans="11:11">
      <c r="K166" s="6"/>
    </row>
    <row r="167" spans="11:11">
      <c r="K167" s="6"/>
    </row>
    <row r="168" spans="11:11">
      <c r="K168" s="6"/>
    </row>
    <row r="169" spans="11:11">
      <c r="K169" s="6"/>
    </row>
    <row r="170" spans="11:11">
      <c r="K170" s="6"/>
    </row>
    <row r="171" spans="11:11">
      <c r="K171" s="6"/>
    </row>
    <row r="172" spans="11:11">
      <c r="K172" s="6"/>
    </row>
    <row r="173" spans="11:11">
      <c r="K173" s="6"/>
    </row>
    <row r="174" spans="11:11">
      <c r="K174" s="6"/>
    </row>
    <row r="175" spans="11:11">
      <c r="K175" s="6"/>
    </row>
    <row r="176" spans="11:11">
      <c r="K176" s="6"/>
    </row>
    <row r="177" spans="11:11">
      <c r="K177" s="6"/>
    </row>
    <row r="178" spans="11:11">
      <c r="K178" s="6"/>
    </row>
    <row r="179" spans="11:11">
      <c r="K179" s="6"/>
    </row>
    <row r="180" spans="11:11">
      <c r="K180" s="6"/>
    </row>
    <row r="181" spans="11:11">
      <c r="K181" s="6"/>
    </row>
    <row r="182" spans="11:11">
      <c r="K182" s="6"/>
    </row>
    <row r="183" spans="11:11">
      <c r="K183" s="6"/>
    </row>
    <row r="184" spans="11:11">
      <c r="K184" s="6"/>
    </row>
    <row r="185" spans="11:11">
      <c r="K185" s="6"/>
    </row>
    <row r="186" spans="11:11">
      <c r="K186" s="6"/>
    </row>
    <row r="187" spans="11:11">
      <c r="K187" s="6"/>
    </row>
    <row r="188" spans="11:11">
      <c r="K188" s="6"/>
    </row>
    <row r="189" spans="11:11">
      <c r="K189" s="6"/>
    </row>
    <row r="190" spans="11:11">
      <c r="K190" s="6"/>
    </row>
    <row r="191" spans="11:11">
      <c r="K191" s="6"/>
    </row>
    <row r="192" spans="11:11">
      <c r="K192" s="6"/>
    </row>
    <row r="193" spans="11:11">
      <c r="K193" s="6"/>
    </row>
    <row r="194" spans="11:11">
      <c r="K194" s="6"/>
    </row>
    <row r="195" spans="11:11">
      <c r="K195" s="6"/>
    </row>
    <row r="196" spans="11:11">
      <c r="K196" s="6"/>
    </row>
    <row r="197" spans="11:11">
      <c r="K197" s="6"/>
    </row>
    <row r="198" spans="11:11">
      <c r="K198" s="6"/>
    </row>
    <row r="199" spans="11:11">
      <c r="K199" s="6"/>
    </row>
    <row r="200" spans="11:11">
      <c r="K200" s="6"/>
    </row>
  </sheetData>
  <dataValidations count="1">
    <dataValidation type="list" sqref="D2:D200" xr:uid="{00000000-0002-0000-0600-000000000000}">
      <formula1>"Em aberto,Madura para formalização,Aceita,Rejeitada,Superseded,Cancelada"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0"/>
  <sheetViews>
    <sheetView workbookViewId="0"/>
  </sheetViews>
  <sheetFormatPr defaultRowHeight="14.25"/>
  <cols>
    <col min="1" max="1" width="16" customWidth="1"/>
    <col min="2" max="2" width="20" customWidth="1"/>
    <col min="3" max="3" width="72" customWidth="1"/>
    <col min="4" max="4" width="16" customWidth="1"/>
    <col min="5" max="5" width="24" customWidth="1"/>
    <col min="6" max="6" width="36" customWidth="1"/>
    <col min="7" max="7" width="38" customWidth="1"/>
    <col min="8" max="8" width="20" customWidth="1"/>
    <col min="9" max="9" width="36" customWidth="1"/>
    <col min="10" max="10" width="14" customWidth="1"/>
    <col min="11" max="11" width="24" customWidth="1"/>
    <col min="12" max="12" width="40" customWidth="1"/>
  </cols>
  <sheetData>
    <row r="1" spans="1:12" ht="30">
      <c r="A1" s="1" t="s">
        <v>423</v>
      </c>
      <c r="B1" s="1" t="s">
        <v>163</v>
      </c>
      <c r="C1" s="1" t="s">
        <v>424</v>
      </c>
      <c r="D1" s="1" t="s">
        <v>61</v>
      </c>
      <c r="E1" s="1" t="s">
        <v>133</v>
      </c>
      <c r="F1" s="1" t="s">
        <v>425</v>
      </c>
      <c r="G1" s="1" t="s">
        <v>426</v>
      </c>
      <c r="H1" s="1" t="s">
        <v>139</v>
      </c>
      <c r="I1" s="1" t="s">
        <v>141</v>
      </c>
      <c r="J1" s="1" t="s">
        <v>427</v>
      </c>
      <c r="K1" s="1" t="s">
        <v>63</v>
      </c>
      <c r="L1" s="1" t="s">
        <v>68</v>
      </c>
    </row>
    <row r="2" spans="1:12" ht="42.75">
      <c r="A2" s="3" t="s">
        <v>428</v>
      </c>
      <c r="B2" s="3" t="s">
        <v>429</v>
      </c>
      <c r="C2" s="3" t="s">
        <v>430</v>
      </c>
      <c r="D2" s="3" t="s">
        <v>80</v>
      </c>
      <c r="E2" s="3"/>
      <c r="F2" s="3"/>
      <c r="G2" s="3"/>
      <c r="H2" s="3"/>
      <c r="I2" s="3"/>
      <c r="J2" s="4"/>
      <c r="K2" s="3"/>
      <c r="L2" s="3"/>
    </row>
    <row r="3" spans="1:12">
      <c r="A3" s="3" t="s">
        <v>431</v>
      </c>
      <c r="B3" s="3" t="s">
        <v>429</v>
      </c>
      <c r="C3" s="3" t="s">
        <v>432</v>
      </c>
      <c r="D3" s="3" t="s">
        <v>80</v>
      </c>
      <c r="E3" s="3"/>
      <c r="F3" s="3"/>
      <c r="G3" s="3"/>
      <c r="H3" s="3"/>
      <c r="I3" s="3"/>
      <c r="J3" s="4"/>
      <c r="K3" s="3"/>
      <c r="L3" s="3"/>
    </row>
    <row r="4" spans="1:12">
      <c r="A4" s="3" t="s">
        <v>433</v>
      </c>
      <c r="B4" s="3" t="s">
        <v>429</v>
      </c>
      <c r="C4" s="3" t="s">
        <v>434</v>
      </c>
      <c r="D4" s="3" t="s">
        <v>80</v>
      </c>
      <c r="E4" s="3"/>
      <c r="F4" s="3"/>
      <c r="G4" s="3"/>
      <c r="H4" s="3"/>
      <c r="I4" s="3"/>
      <c r="J4" s="4"/>
      <c r="K4" s="3"/>
      <c r="L4" s="3"/>
    </row>
    <row r="5" spans="1:12">
      <c r="A5" s="3" t="s">
        <v>435</v>
      </c>
      <c r="B5" s="3" t="s">
        <v>429</v>
      </c>
      <c r="C5" s="3" t="s">
        <v>436</v>
      </c>
      <c r="D5" s="3" t="s">
        <v>80</v>
      </c>
      <c r="E5" s="3"/>
      <c r="F5" s="3"/>
      <c r="G5" s="3"/>
      <c r="H5" s="3"/>
      <c r="I5" s="3"/>
      <c r="J5" s="4"/>
      <c r="K5" s="3"/>
      <c r="L5" s="3"/>
    </row>
    <row r="6" spans="1:12" ht="28.5">
      <c r="A6" s="3" t="s">
        <v>437</v>
      </c>
      <c r="B6" s="3" t="s">
        <v>429</v>
      </c>
      <c r="C6" s="3" t="s">
        <v>438</v>
      </c>
      <c r="D6" s="3" t="s">
        <v>80</v>
      </c>
      <c r="E6" s="3"/>
      <c r="F6" s="3"/>
      <c r="G6" s="3"/>
      <c r="H6" s="3"/>
      <c r="I6" s="3"/>
      <c r="J6" s="4"/>
      <c r="K6" s="3"/>
      <c r="L6" s="3"/>
    </row>
    <row r="7" spans="1:12">
      <c r="A7" s="3" t="s">
        <v>439</v>
      </c>
      <c r="B7" s="3" t="s">
        <v>429</v>
      </c>
      <c r="C7" s="3" t="s">
        <v>440</v>
      </c>
      <c r="D7" s="3" t="s">
        <v>80</v>
      </c>
      <c r="E7" s="3"/>
      <c r="F7" s="3"/>
      <c r="G7" s="3"/>
      <c r="H7" s="3"/>
      <c r="I7" s="3"/>
      <c r="J7" s="4"/>
      <c r="K7" s="3"/>
      <c r="L7" s="3"/>
    </row>
    <row r="8" spans="1:12" ht="28.5">
      <c r="A8" s="3" t="s">
        <v>441</v>
      </c>
      <c r="B8" s="3" t="s">
        <v>429</v>
      </c>
      <c r="C8" s="3" t="s">
        <v>442</v>
      </c>
      <c r="D8" s="3" t="s">
        <v>80</v>
      </c>
      <c r="E8" s="3"/>
      <c r="F8" s="3"/>
      <c r="G8" s="3"/>
      <c r="H8" s="3"/>
      <c r="I8" s="3"/>
      <c r="J8" s="4"/>
      <c r="K8" s="3"/>
      <c r="L8" s="3"/>
    </row>
    <row r="9" spans="1:12" ht="28.5">
      <c r="A9" s="3" t="s">
        <v>443</v>
      </c>
      <c r="B9" s="3" t="s">
        <v>429</v>
      </c>
      <c r="C9" s="3" t="s">
        <v>444</v>
      </c>
      <c r="D9" s="3" t="s">
        <v>80</v>
      </c>
      <c r="E9" s="3"/>
      <c r="F9" s="3"/>
      <c r="G9" s="3"/>
      <c r="H9" s="3"/>
      <c r="I9" s="3"/>
      <c r="J9" s="4"/>
      <c r="K9" s="3"/>
      <c r="L9" s="3"/>
    </row>
    <row r="10" spans="1:12" ht="28.5">
      <c r="A10" s="3" t="s">
        <v>445</v>
      </c>
      <c r="B10" s="3" t="s">
        <v>446</v>
      </c>
      <c r="C10" s="3" t="s">
        <v>447</v>
      </c>
      <c r="D10" s="3" t="s">
        <v>80</v>
      </c>
      <c r="E10" s="3"/>
      <c r="F10" s="3"/>
      <c r="G10" s="3"/>
      <c r="H10" s="3"/>
      <c r="I10" s="3"/>
      <c r="J10" s="4"/>
      <c r="K10" s="3"/>
      <c r="L10" s="3"/>
    </row>
    <row r="11" spans="1:12" ht="28.5">
      <c r="A11" s="3" t="s">
        <v>448</v>
      </c>
      <c r="B11" s="3" t="s">
        <v>429</v>
      </c>
      <c r="C11" s="3" t="s">
        <v>449</v>
      </c>
      <c r="D11" s="3" t="s">
        <v>80</v>
      </c>
      <c r="E11" s="3"/>
      <c r="F11" s="3"/>
      <c r="G11" s="3"/>
      <c r="H11" s="3"/>
      <c r="I11" s="3"/>
      <c r="J11" s="4"/>
      <c r="K11" s="3"/>
      <c r="L11" s="3"/>
    </row>
    <row r="12" spans="1:12" ht="28.5">
      <c r="A12" s="3" t="s">
        <v>450</v>
      </c>
      <c r="B12" s="3" t="s">
        <v>429</v>
      </c>
      <c r="C12" s="3" t="s">
        <v>451</v>
      </c>
      <c r="D12" s="3" t="s">
        <v>80</v>
      </c>
      <c r="E12" s="3"/>
      <c r="F12" s="3"/>
      <c r="G12" s="3"/>
      <c r="H12" s="3"/>
      <c r="I12" s="3"/>
      <c r="J12" s="4"/>
      <c r="K12" s="3"/>
      <c r="L12" s="3"/>
    </row>
    <row r="13" spans="1:12" ht="28.5">
      <c r="A13" s="3" t="s">
        <v>452</v>
      </c>
      <c r="B13" s="3" t="s">
        <v>429</v>
      </c>
      <c r="C13" s="3" t="s">
        <v>453</v>
      </c>
      <c r="D13" s="3" t="s">
        <v>80</v>
      </c>
      <c r="E13" s="3"/>
      <c r="F13" s="3"/>
      <c r="G13" s="3"/>
      <c r="H13" s="3"/>
      <c r="I13" s="3"/>
      <c r="J13" s="4"/>
      <c r="K13" s="3"/>
      <c r="L13" s="3"/>
    </row>
    <row r="14" spans="1:12" ht="28.5">
      <c r="A14" s="3" t="s">
        <v>454</v>
      </c>
      <c r="B14" s="3" t="s">
        <v>429</v>
      </c>
      <c r="C14" s="3" t="s">
        <v>455</v>
      </c>
      <c r="D14" s="3" t="s">
        <v>80</v>
      </c>
      <c r="E14" s="3"/>
      <c r="F14" s="3"/>
      <c r="G14" s="3"/>
      <c r="H14" s="3"/>
      <c r="I14" s="3"/>
      <c r="J14" s="4"/>
      <c r="K14" s="3"/>
      <c r="L14" s="3"/>
    </row>
    <row r="15" spans="1:12">
      <c r="J15" s="6"/>
    </row>
    <row r="16" spans="1:12">
      <c r="J16" s="6"/>
    </row>
    <row r="17" spans="10:10">
      <c r="J17" s="6"/>
    </row>
    <row r="18" spans="10:10">
      <c r="J18" s="6"/>
    </row>
    <row r="19" spans="10:10">
      <c r="J19" s="6"/>
    </row>
    <row r="20" spans="10:10">
      <c r="J20" s="6"/>
    </row>
    <row r="21" spans="10:10">
      <c r="J21" s="6"/>
    </row>
    <row r="22" spans="10:10">
      <c r="J22" s="6"/>
    </row>
    <row r="23" spans="10:10">
      <c r="J23" s="6"/>
    </row>
    <row r="24" spans="10:10">
      <c r="J24" s="6"/>
    </row>
    <row r="25" spans="10:10">
      <c r="J25" s="6"/>
    </row>
    <row r="26" spans="10:10">
      <c r="J26" s="6"/>
    </row>
    <row r="27" spans="10:10">
      <c r="J27" s="6"/>
    </row>
    <row r="28" spans="10:10">
      <c r="J28" s="6"/>
    </row>
    <row r="29" spans="10:10">
      <c r="J29" s="6"/>
    </row>
    <row r="30" spans="10:10">
      <c r="J30" s="6"/>
    </row>
    <row r="31" spans="10:10">
      <c r="J31" s="6"/>
    </row>
    <row r="32" spans="10:10">
      <c r="J32" s="6"/>
    </row>
    <row r="33" spans="10:10">
      <c r="J33" s="6"/>
    </row>
    <row r="34" spans="10:10">
      <c r="J34" s="6"/>
    </row>
    <row r="35" spans="10:10">
      <c r="J35" s="6"/>
    </row>
    <row r="36" spans="10:10">
      <c r="J36" s="6"/>
    </row>
    <row r="37" spans="10:10">
      <c r="J37" s="6"/>
    </row>
    <row r="38" spans="10:10">
      <c r="J38" s="6"/>
    </row>
    <row r="39" spans="10:10">
      <c r="J39" s="6"/>
    </row>
    <row r="40" spans="10:10">
      <c r="J40" s="6"/>
    </row>
    <row r="41" spans="10:10">
      <c r="J41" s="6"/>
    </row>
    <row r="42" spans="10:10">
      <c r="J42" s="6"/>
    </row>
    <row r="43" spans="10:10">
      <c r="J43" s="6"/>
    </row>
    <row r="44" spans="10:10">
      <c r="J44" s="6"/>
    </row>
    <row r="45" spans="10:10">
      <c r="J45" s="6"/>
    </row>
    <row r="46" spans="10:10">
      <c r="J46" s="6"/>
    </row>
    <row r="47" spans="10:10">
      <c r="J47" s="6"/>
    </row>
    <row r="48" spans="10:10">
      <c r="J48" s="6"/>
    </row>
    <row r="49" spans="10:10">
      <c r="J49" s="6"/>
    </row>
    <row r="50" spans="10:10">
      <c r="J50" s="6"/>
    </row>
    <row r="51" spans="10:10">
      <c r="J51" s="6"/>
    </row>
    <row r="52" spans="10:10">
      <c r="J52" s="6"/>
    </row>
    <row r="53" spans="10:10">
      <c r="J53" s="6"/>
    </row>
    <row r="54" spans="10:10">
      <c r="J54" s="6"/>
    </row>
    <row r="55" spans="10:10">
      <c r="J55" s="6"/>
    </row>
    <row r="56" spans="10:10">
      <c r="J56" s="6"/>
    </row>
    <row r="57" spans="10:10">
      <c r="J57" s="6"/>
    </row>
    <row r="58" spans="10:10">
      <c r="J58" s="6"/>
    </row>
    <row r="59" spans="10:10">
      <c r="J59" s="6"/>
    </row>
    <row r="60" spans="10:10">
      <c r="J60" s="6"/>
    </row>
    <row r="61" spans="10:10">
      <c r="J61" s="6"/>
    </row>
    <row r="62" spans="10:10">
      <c r="J62" s="6"/>
    </row>
    <row r="63" spans="10:10">
      <c r="J63" s="6"/>
    </row>
    <row r="64" spans="10:10">
      <c r="J64" s="6"/>
    </row>
    <row r="65" spans="10:10">
      <c r="J65" s="6"/>
    </row>
    <row r="66" spans="10:10">
      <c r="J66" s="6"/>
    </row>
    <row r="67" spans="10:10">
      <c r="J67" s="6"/>
    </row>
    <row r="68" spans="10:10">
      <c r="J68" s="6"/>
    </row>
    <row r="69" spans="10:10">
      <c r="J69" s="6"/>
    </row>
    <row r="70" spans="10:10">
      <c r="J70" s="6"/>
    </row>
    <row r="71" spans="10:10">
      <c r="J71" s="6"/>
    </row>
    <row r="72" spans="10:10">
      <c r="J72" s="6"/>
    </row>
    <row r="73" spans="10:10">
      <c r="J73" s="6"/>
    </row>
    <row r="74" spans="10:10">
      <c r="J74" s="6"/>
    </row>
    <row r="75" spans="10:10">
      <c r="J75" s="6"/>
    </row>
    <row r="76" spans="10:10">
      <c r="J76" s="6"/>
    </row>
    <row r="77" spans="10:10">
      <c r="J77" s="6"/>
    </row>
    <row r="78" spans="10:10">
      <c r="J78" s="6"/>
    </row>
    <row r="79" spans="10:10">
      <c r="J79" s="6"/>
    </row>
    <row r="80" spans="10:10">
      <c r="J80" s="6"/>
    </row>
    <row r="81" spans="10:10">
      <c r="J81" s="6"/>
    </row>
    <row r="82" spans="10:10">
      <c r="J82" s="6"/>
    </row>
    <row r="83" spans="10:10">
      <c r="J83" s="6"/>
    </row>
    <row r="84" spans="10:10">
      <c r="J84" s="6"/>
    </row>
    <row r="85" spans="10:10">
      <c r="J85" s="6"/>
    </row>
    <row r="86" spans="10:10">
      <c r="J86" s="6"/>
    </row>
    <row r="87" spans="10:10">
      <c r="J87" s="6"/>
    </row>
    <row r="88" spans="10:10">
      <c r="J88" s="6"/>
    </row>
    <row r="89" spans="10:10">
      <c r="J89" s="6"/>
    </row>
    <row r="90" spans="10:10">
      <c r="J90" s="6"/>
    </row>
    <row r="91" spans="10:10">
      <c r="J91" s="6"/>
    </row>
    <row r="92" spans="10:10">
      <c r="J92" s="6"/>
    </row>
    <row r="93" spans="10:10">
      <c r="J93" s="6"/>
    </row>
    <row r="94" spans="10:10">
      <c r="J94" s="6"/>
    </row>
    <row r="95" spans="10:10">
      <c r="J95" s="6"/>
    </row>
    <row r="96" spans="10:10">
      <c r="J96" s="6"/>
    </row>
    <row r="97" spans="10:10">
      <c r="J97" s="6"/>
    </row>
    <row r="98" spans="10:10">
      <c r="J98" s="6"/>
    </row>
    <row r="99" spans="10:10">
      <c r="J99" s="6"/>
    </row>
    <row r="100" spans="10:10">
      <c r="J100" s="6"/>
    </row>
    <row r="101" spans="10:10">
      <c r="J101" s="6"/>
    </row>
    <row r="102" spans="10:10">
      <c r="J102" s="6"/>
    </row>
    <row r="103" spans="10:10">
      <c r="J103" s="6"/>
    </row>
    <row r="104" spans="10:10">
      <c r="J104" s="6"/>
    </row>
    <row r="105" spans="10:10">
      <c r="J105" s="6"/>
    </row>
    <row r="106" spans="10:10">
      <c r="J106" s="6"/>
    </row>
    <row r="107" spans="10:10">
      <c r="J107" s="6"/>
    </row>
    <row r="108" spans="10:10">
      <c r="J108" s="6"/>
    </row>
    <row r="109" spans="10:10">
      <c r="J109" s="6"/>
    </row>
    <row r="110" spans="10:10">
      <c r="J110" s="6"/>
    </row>
    <row r="111" spans="10:10">
      <c r="J111" s="6"/>
    </row>
    <row r="112" spans="10:10">
      <c r="J112" s="6"/>
    </row>
    <row r="113" spans="10:10">
      <c r="J113" s="6"/>
    </row>
    <row r="114" spans="10:10">
      <c r="J114" s="6"/>
    </row>
    <row r="115" spans="10:10">
      <c r="J115" s="6"/>
    </row>
    <row r="116" spans="10:10">
      <c r="J116" s="6"/>
    </row>
    <row r="117" spans="10:10">
      <c r="J117" s="6"/>
    </row>
    <row r="118" spans="10:10">
      <c r="J118" s="6"/>
    </row>
    <row r="119" spans="10:10">
      <c r="J119" s="6"/>
    </row>
    <row r="120" spans="10:10">
      <c r="J120" s="6"/>
    </row>
    <row r="121" spans="10:10">
      <c r="J121" s="6"/>
    </row>
    <row r="122" spans="10:10">
      <c r="J122" s="6"/>
    </row>
    <row r="123" spans="10:10">
      <c r="J123" s="6"/>
    </row>
    <row r="124" spans="10:10">
      <c r="J124" s="6"/>
    </row>
    <row r="125" spans="10:10">
      <c r="J125" s="6"/>
    </row>
    <row r="126" spans="10:10">
      <c r="J126" s="6"/>
    </row>
    <row r="127" spans="10:10">
      <c r="J127" s="6"/>
    </row>
    <row r="128" spans="10:10">
      <c r="J128" s="6"/>
    </row>
    <row r="129" spans="10:10">
      <c r="J129" s="6"/>
    </row>
    <row r="130" spans="10:10">
      <c r="J130" s="6"/>
    </row>
    <row r="131" spans="10:10">
      <c r="J131" s="6"/>
    </row>
    <row r="132" spans="10:10">
      <c r="J132" s="6"/>
    </row>
    <row r="133" spans="10:10">
      <c r="J133" s="6"/>
    </row>
    <row r="134" spans="10:10">
      <c r="J134" s="6"/>
    </row>
    <row r="135" spans="10:10">
      <c r="J135" s="6"/>
    </row>
    <row r="136" spans="10:10">
      <c r="J136" s="6"/>
    </row>
    <row r="137" spans="10:10">
      <c r="J137" s="6"/>
    </row>
    <row r="138" spans="10:10">
      <c r="J138" s="6"/>
    </row>
    <row r="139" spans="10:10">
      <c r="J139" s="6"/>
    </row>
    <row r="140" spans="10:10">
      <c r="J140" s="6"/>
    </row>
    <row r="141" spans="10:10">
      <c r="J141" s="6"/>
    </row>
    <row r="142" spans="10:10">
      <c r="J142" s="6"/>
    </row>
    <row r="143" spans="10:10">
      <c r="J143" s="6"/>
    </row>
    <row r="144" spans="10:10">
      <c r="J144" s="6"/>
    </row>
    <row r="145" spans="10:10">
      <c r="J145" s="6"/>
    </row>
    <row r="146" spans="10:10">
      <c r="J146" s="6"/>
    </row>
    <row r="147" spans="10:10">
      <c r="J147" s="6"/>
    </row>
    <row r="148" spans="10:10">
      <c r="J148" s="6"/>
    </row>
    <row r="149" spans="10:10">
      <c r="J149" s="6"/>
    </row>
    <row r="150" spans="10:10">
      <c r="J150" s="6"/>
    </row>
    <row r="151" spans="10:10">
      <c r="J151" s="6"/>
    </row>
    <row r="152" spans="10:10">
      <c r="J152" s="6"/>
    </row>
    <row r="153" spans="10:10">
      <c r="J153" s="6"/>
    </row>
    <row r="154" spans="10:10">
      <c r="J154" s="6"/>
    </row>
    <row r="155" spans="10:10">
      <c r="J155" s="6"/>
    </row>
    <row r="156" spans="10:10">
      <c r="J156" s="6"/>
    </row>
    <row r="157" spans="10:10">
      <c r="J157" s="6"/>
    </row>
    <row r="158" spans="10:10">
      <c r="J158" s="6"/>
    </row>
    <row r="159" spans="10:10">
      <c r="J159" s="6"/>
    </row>
    <row r="160" spans="10:10">
      <c r="J160" s="6"/>
    </row>
    <row r="161" spans="10:10">
      <c r="J161" s="6"/>
    </row>
    <row r="162" spans="10:10">
      <c r="J162" s="6"/>
    </row>
    <row r="163" spans="10:10">
      <c r="J163" s="6"/>
    </row>
    <row r="164" spans="10:10">
      <c r="J164" s="6"/>
    </row>
    <row r="165" spans="10:10">
      <c r="J165" s="6"/>
    </row>
    <row r="166" spans="10:10">
      <c r="J166" s="6"/>
    </row>
    <row r="167" spans="10:10">
      <c r="J167" s="6"/>
    </row>
    <row r="168" spans="10:10">
      <c r="J168" s="6"/>
    </row>
    <row r="169" spans="10:10">
      <c r="J169" s="6"/>
    </row>
    <row r="170" spans="10:10">
      <c r="J170" s="6"/>
    </row>
    <row r="171" spans="10:10">
      <c r="J171" s="6"/>
    </row>
    <row r="172" spans="10:10">
      <c r="J172" s="6"/>
    </row>
    <row r="173" spans="10:10">
      <c r="J173" s="6"/>
    </row>
    <row r="174" spans="10:10">
      <c r="J174" s="6"/>
    </row>
    <row r="175" spans="10:10">
      <c r="J175" s="6"/>
    </row>
    <row r="176" spans="10:10">
      <c r="J176" s="6"/>
    </row>
    <row r="177" spans="10:10">
      <c r="J177" s="6"/>
    </row>
    <row r="178" spans="10:10">
      <c r="J178" s="6"/>
    </row>
    <row r="179" spans="10:10">
      <c r="J179" s="6"/>
    </row>
    <row r="180" spans="10:10">
      <c r="J180" s="6"/>
    </row>
    <row r="181" spans="10:10">
      <c r="J181" s="6"/>
    </row>
    <row r="182" spans="10:10">
      <c r="J182" s="6"/>
    </row>
    <row r="183" spans="10:10">
      <c r="J183" s="6"/>
    </row>
    <row r="184" spans="10:10">
      <c r="J184" s="6"/>
    </row>
    <row r="185" spans="10:10">
      <c r="J185" s="6"/>
    </row>
    <row r="186" spans="10:10">
      <c r="J186" s="6"/>
    </row>
    <row r="187" spans="10:10">
      <c r="J187" s="6"/>
    </row>
    <row r="188" spans="10:10">
      <c r="J188" s="6"/>
    </row>
    <row r="189" spans="10:10">
      <c r="J189" s="6"/>
    </row>
    <row r="190" spans="10:10">
      <c r="J190" s="6"/>
    </row>
    <row r="191" spans="10:10">
      <c r="J191" s="6"/>
    </row>
    <row r="192" spans="10:10">
      <c r="J192" s="6"/>
    </row>
    <row r="193" spans="10:10">
      <c r="J193" s="6"/>
    </row>
    <row r="194" spans="10:10">
      <c r="J194" s="6"/>
    </row>
    <row r="195" spans="10:10">
      <c r="J195" s="6"/>
    </row>
    <row r="196" spans="10:10">
      <c r="J196" s="6"/>
    </row>
    <row r="197" spans="10:10">
      <c r="J197" s="6"/>
    </row>
    <row r="198" spans="10:10">
      <c r="J198" s="6"/>
    </row>
    <row r="199" spans="10:10">
      <c r="J199" s="6"/>
    </row>
    <row r="200" spans="10:10">
      <c r="J200" s="6"/>
    </row>
  </sheetData>
  <dataValidations count="1">
    <dataValidation type="list" sqref="D2:D200" xr:uid="{00000000-0002-0000-0700-000000000000}">
      <formula1>"Não iniciado,Preparado,Executado,Passou,Falhou,Bloqueado,Não aplicável"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00"/>
  <sheetViews>
    <sheetView workbookViewId="0"/>
  </sheetViews>
  <sheetFormatPr defaultRowHeight="14.25"/>
  <cols>
    <col min="1" max="1" width="13" customWidth="1"/>
    <col min="2" max="2" width="20" customWidth="1"/>
    <col min="3" max="3" width="46" customWidth="1"/>
    <col min="4" max="4" width="54" customWidth="1"/>
    <col min="5" max="5" width="24" customWidth="1"/>
    <col min="6" max="6" width="14" customWidth="1"/>
    <col min="7" max="7" width="40" customWidth="1"/>
    <col min="8" max="8" width="18" customWidth="1"/>
    <col min="9" max="10" width="22" customWidth="1"/>
    <col min="11" max="12" width="18" customWidth="1"/>
    <col min="13" max="13" width="32" customWidth="1"/>
    <col min="14" max="14" width="16" customWidth="1"/>
    <col min="15" max="15" width="40" customWidth="1"/>
  </cols>
  <sheetData>
    <row r="1" spans="1:15" ht="15">
      <c r="A1" s="1" t="s">
        <v>456</v>
      </c>
      <c r="B1" s="1" t="s">
        <v>163</v>
      </c>
      <c r="C1" s="1" t="s">
        <v>457</v>
      </c>
      <c r="D1" s="1" t="s">
        <v>458</v>
      </c>
      <c r="E1" s="1" t="s">
        <v>459</v>
      </c>
      <c r="F1" s="1" t="s">
        <v>129</v>
      </c>
      <c r="G1" s="1" t="s">
        <v>141</v>
      </c>
      <c r="H1" s="1" t="s">
        <v>169</v>
      </c>
      <c r="I1" s="1" t="s">
        <v>133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61</v>
      </c>
      <c r="O1" s="1" t="s">
        <v>68</v>
      </c>
    </row>
    <row r="2" spans="1:15">
      <c r="A2" s="3"/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/>
      <c r="B3" s="3"/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/>
      <c r="B4" s="3"/>
      <c r="C4" s="3"/>
      <c r="D4" s="3"/>
      <c r="E4" s="3"/>
      <c r="F4" s="4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/>
      <c r="B5" s="3"/>
      <c r="C5" s="3"/>
      <c r="D5" s="3"/>
      <c r="E5" s="3"/>
      <c r="F5" s="4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4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4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</row>
    <row r="101" spans="1:15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N101" s="3"/>
      <c r="O101" s="3"/>
    </row>
    <row r="102" spans="1:15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N124" s="3"/>
      <c r="O124" s="3"/>
    </row>
    <row r="125" spans="1:15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</row>
    <row r="126" spans="1:15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</row>
    <row r="127" spans="1:15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</row>
    <row r="130" spans="1:15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</row>
    <row r="131" spans="1:15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/>
      <c r="O132" s="3"/>
    </row>
    <row r="133" spans="1:15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</row>
    <row r="136" spans="1:15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</row>
    <row r="138" spans="1:15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</row>
    <row r="139" spans="1:15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/>
    </row>
    <row r="140" spans="1:15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</row>
    <row r="141" spans="1:15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</row>
    <row r="142" spans="1:15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</row>
    <row r="143" spans="1:15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</row>
    <row r="144" spans="1:15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N144" s="3"/>
      <c r="O144" s="3"/>
    </row>
    <row r="145" spans="1:15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N145" s="3"/>
      <c r="O145" s="3"/>
    </row>
    <row r="146" spans="1:15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</row>
    <row r="193" spans="1:15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</row>
    <row r="194" spans="1:15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</row>
    <row r="195" spans="1:15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</row>
    <row r="196" spans="1:15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</row>
    <row r="197" spans="1:15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</row>
    <row r="198" spans="1:15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</row>
    <row r="199" spans="1:15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</row>
    <row r="200" spans="1:15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</row>
    <row r="201" spans="1:15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</row>
    <row r="202" spans="1:15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</row>
    <row r="203" spans="1:15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</row>
    <row r="204" spans="1:15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</row>
    <row r="205" spans="1:15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</row>
    <row r="206" spans="1:15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3"/>
    </row>
    <row r="207" spans="1:15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</row>
    <row r="208" spans="1:15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</row>
    <row r="209" spans="1:15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</row>
    <row r="210" spans="1:15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3"/>
    </row>
    <row r="211" spans="1:15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</row>
    <row r="212" spans="1:15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</row>
    <row r="213" spans="1:15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</row>
    <row r="214" spans="1:15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3"/>
    </row>
    <row r="215" spans="1:15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</row>
    <row r="216" spans="1:15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</row>
    <row r="217" spans="1:15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</row>
    <row r="218" spans="1:15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</row>
    <row r="219" spans="1:15">
      <c r="A219" s="3"/>
      <c r="B219" s="3"/>
      <c r="C219" s="3"/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</row>
    <row r="220" spans="1:15">
      <c r="A220" s="3"/>
      <c r="B220" s="3"/>
      <c r="C220" s="3"/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</row>
    <row r="221" spans="1:15">
      <c r="A221" s="3"/>
      <c r="B221" s="3"/>
      <c r="C221" s="3"/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</row>
    <row r="222" spans="1:15">
      <c r="A222" s="3"/>
      <c r="B222" s="3"/>
      <c r="C222" s="3"/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</row>
    <row r="223" spans="1:15">
      <c r="A223" s="3"/>
      <c r="B223" s="3"/>
      <c r="C223" s="3"/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</row>
    <row r="224" spans="1:15">
      <c r="A224" s="3"/>
      <c r="B224" s="3"/>
      <c r="C224" s="3"/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</row>
    <row r="225" spans="1:15">
      <c r="A225" s="3"/>
      <c r="B225" s="3"/>
      <c r="C225" s="3"/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</row>
    <row r="226" spans="1:15">
      <c r="A226" s="3"/>
      <c r="B226" s="3"/>
      <c r="C226" s="3"/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</row>
    <row r="227" spans="1:15">
      <c r="A227" s="3"/>
      <c r="B227" s="3"/>
      <c r="C227" s="3"/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</row>
    <row r="228" spans="1:15">
      <c r="A228" s="3"/>
      <c r="B228" s="3"/>
      <c r="C228" s="3"/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</row>
    <row r="229" spans="1:15">
      <c r="A229" s="3"/>
      <c r="B229" s="3"/>
      <c r="C229" s="3"/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</row>
    <row r="230" spans="1:15">
      <c r="A230" s="3"/>
      <c r="B230" s="3"/>
      <c r="C230" s="3"/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</row>
    <row r="231" spans="1:15">
      <c r="A231" s="3"/>
      <c r="B231" s="3"/>
      <c r="C231" s="3"/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</row>
    <row r="232" spans="1:15">
      <c r="A232" s="3"/>
      <c r="B232" s="3"/>
      <c r="C232" s="3"/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</row>
    <row r="233" spans="1:15">
      <c r="A233" s="3"/>
      <c r="B233" s="3"/>
      <c r="C233" s="3"/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</row>
    <row r="234" spans="1:15">
      <c r="A234" s="3"/>
      <c r="B234" s="3"/>
      <c r="C234" s="3"/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</row>
    <row r="235" spans="1:15">
      <c r="A235" s="3"/>
      <c r="B235" s="3"/>
      <c r="C235" s="3"/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</row>
    <row r="236" spans="1:15">
      <c r="A236" s="3"/>
      <c r="B236" s="3"/>
      <c r="C236" s="3"/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</row>
    <row r="237" spans="1:15">
      <c r="A237" s="3"/>
      <c r="B237" s="3"/>
      <c r="C237" s="3"/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</row>
    <row r="238" spans="1:15">
      <c r="A238" s="3"/>
      <c r="B238" s="3"/>
      <c r="C238" s="3"/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</row>
    <row r="239" spans="1:15">
      <c r="A239" s="3"/>
      <c r="B239" s="3"/>
      <c r="C239" s="3"/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</row>
    <row r="240" spans="1:15">
      <c r="A240" s="3"/>
      <c r="B240" s="3"/>
      <c r="C240" s="3"/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</row>
    <row r="241" spans="1:15">
      <c r="A241" s="3"/>
      <c r="B241" s="3"/>
      <c r="C241" s="3"/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</row>
    <row r="242" spans="1:15">
      <c r="A242" s="3"/>
      <c r="B242" s="3"/>
      <c r="C242" s="3"/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</row>
    <row r="243" spans="1:15">
      <c r="A243" s="3"/>
      <c r="B243" s="3"/>
      <c r="C243" s="3"/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</row>
    <row r="244" spans="1:15">
      <c r="A244" s="3"/>
      <c r="B244" s="3"/>
      <c r="C244" s="3"/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</row>
    <row r="245" spans="1:15">
      <c r="A245" s="3"/>
      <c r="B245" s="3"/>
      <c r="C245" s="3"/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</row>
    <row r="246" spans="1:15">
      <c r="A246" s="3"/>
      <c r="B246" s="3"/>
      <c r="C246" s="3"/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</row>
    <row r="247" spans="1:15">
      <c r="A247" s="3"/>
      <c r="B247" s="3"/>
      <c r="C247" s="3"/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</row>
    <row r="248" spans="1:15">
      <c r="A248" s="3"/>
      <c r="B248" s="3"/>
      <c r="C248" s="3"/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</row>
    <row r="249" spans="1:15">
      <c r="A249" s="3"/>
      <c r="B249" s="3"/>
      <c r="C249" s="3"/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</row>
    <row r="250" spans="1:15">
      <c r="A250" s="3"/>
      <c r="B250" s="3"/>
      <c r="C250" s="3"/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</row>
    <row r="251" spans="1:15">
      <c r="A251" s="3"/>
      <c r="B251" s="3"/>
      <c r="C251" s="3"/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</row>
    <row r="252" spans="1:15">
      <c r="A252" s="3"/>
      <c r="B252" s="3"/>
      <c r="C252" s="3"/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</row>
    <row r="253" spans="1:15">
      <c r="A253" s="3"/>
      <c r="B253" s="3"/>
      <c r="C253" s="3"/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</row>
    <row r="254" spans="1:15">
      <c r="A254" s="3"/>
      <c r="B254" s="3"/>
      <c r="C254" s="3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</row>
    <row r="255" spans="1:15">
      <c r="A255" s="3"/>
      <c r="B255" s="3"/>
      <c r="C255" s="3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</row>
    <row r="256" spans="1:15">
      <c r="A256" s="3"/>
      <c r="B256" s="3"/>
      <c r="C256" s="3"/>
      <c r="D256" s="3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</row>
    <row r="257" spans="1:15">
      <c r="A257" s="3"/>
      <c r="B257" s="3"/>
      <c r="C257" s="3"/>
      <c r="D257" s="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</row>
    <row r="258" spans="1:15">
      <c r="A258" s="3"/>
      <c r="B258" s="3"/>
      <c r="C258" s="3"/>
      <c r="D258" s="3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</row>
    <row r="259" spans="1:15">
      <c r="A259" s="3"/>
      <c r="B259" s="3"/>
      <c r="C259" s="3"/>
      <c r="D259" s="3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</row>
    <row r="260" spans="1:15">
      <c r="A260" s="3"/>
      <c r="B260" s="3"/>
      <c r="C260" s="3"/>
      <c r="D260" s="3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</row>
    <row r="261" spans="1:15">
      <c r="A261" s="3"/>
      <c r="B261" s="3"/>
      <c r="C261" s="3"/>
      <c r="D261" s="3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</row>
    <row r="262" spans="1:15">
      <c r="A262" s="3"/>
      <c r="B262" s="3"/>
      <c r="C262" s="3"/>
      <c r="D262" s="3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</row>
    <row r="263" spans="1:15">
      <c r="A263" s="3"/>
      <c r="B263" s="3"/>
      <c r="C263" s="3"/>
      <c r="D263" s="3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</row>
    <row r="264" spans="1:15">
      <c r="A264" s="3"/>
      <c r="B264" s="3"/>
      <c r="C264" s="3"/>
      <c r="D264" s="3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</row>
    <row r="265" spans="1:15">
      <c r="A265" s="3"/>
      <c r="B265" s="3"/>
      <c r="C265" s="3"/>
      <c r="D265" s="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</row>
    <row r="266" spans="1:15">
      <c r="A266" s="3"/>
      <c r="B266" s="3"/>
      <c r="C266" s="3"/>
      <c r="D266" s="3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</row>
    <row r="267" spans="1:15">
      <c r="A267" s="3"/>
      <c r="B267" s="3"/>
      <c r="C267" s="3"/>
      <c r="D267" s="3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</row>
    <row r="268" spans="1:15">
      <c r="A268" s="3"/>
      <c r="B268" s="3"/>
      <c r="C268" s="3"/>
      <c r="D268" s="3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</row>
    <row r="269" spans="1:15">
      <c r="A269" s="3"/>
      <c r="B269" s="3"/>
      <c r="C269" s="3"/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</row>
    <row r="270" spans="1:15">
      <c r="A270" s="3"/>
      <c r="B270" s="3"/>
      <c r="C270" s="3"/>
      <c r="D270" s="3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</row>
    <row r="271" spans="1:15">
      <c r="A271" s="3"/>
      <c r="B271" s="3"/>
      <c r="C271" s="3"/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</row>
    <row r="272" spans="1:15">
      <c r="A272" s="3"/>
      <c r="B272" s="3"/>
      <c r="C272" s="3"/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</row>
    <row r="273" spans="1:15">
      <c r="A273" s="3"/>
      <c r="B273" s="3"/>
      <c r="C273" s="3"/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</row>
    <row r="274" spans="1:15">
      <c r="A274" s="3"/>
      <c r="B274" s="3"/>
      <c r="C274" s="3"/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</row>
    <row r="275" spans="1:15">
      <c r="A275" s="3"/>
      <c r="B275" s="3"/>
      <c r="C275" s="3"/>
      <c r="D275" s="3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</row>
    <row r="276" spans="1:15">
      <c r="A276" s="3"/>
      <c r="B276" s="3"/>
      <c r="C276" s="3"/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</row>
    <row r="277" spans="1:15">
      <c r="A277" s="3"/>
      <c r="B277" s="3"/>
      <c r="C277" s="3"/>
      <c r="D277" s="3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</row>
    <row r="278" spans="1:15">
      <c r="A278" s="3"/>
      <c r="B278" s="3"/>
      <c r="C278" s="3"/>
      <c r="D278" s="3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</row>
    <row r="279" spans="1:15">
      <c r="A279" s="3"/>
      <c r="B279" s="3"/>
      <c r="C279" s="3"/>
      <c r="D279" s="3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3"/>
    </row>
    <row r="280" spans="1:15">
      <c r="A280" s="3"/>
      <c r="B280" s="3"/>
      <c r="C280" s="3"/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</row>
    <row r="281" spans="1:15">
      <c r="A281" s="3"/>
      <c r="B281" s="3"/>
      <c r="C281" s="3"/>
      <c r="D281" s="3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3"/>
    </row>
    <row r="282" spans="1:15">
      <c r="A282" s="3"/>
      <c r="B282" s="3"/>
      <c r="C282" s="3"/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</row>
    <row r="283" spans="1:15">
      <c r="A283" s="3"/>
      <c r="B283" s="3"/>
      <c r="C283" s="3"/>
      <c r="D283" s="3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3"/>
    </row>
    <row r="284" spans="1:15">
      <c r="A284" s="3"/>
      <c r="B284" s="3"/>
      <c r="C284" s="3"/>
      <c r="D284" s="3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</row>
    <row r="285" spans="1:15">
      <c r="A285" s="3"/>
      <c r="B285" s="3"/>
      <c r="C285" s="3"/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</row>
    <row r="286" spans="1:15">
      <c r="A286" s="3"/>
      <c r="B286" s="3"/>
      <c r="C286" s="3"/>
      <c r="D286" s="3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</row>
    <row r="287" spans="1:15">
      <c r="A287" s="3"/>
      <c r="B287" s="3"/>
      <c r="C287" s="3"/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</row>
    <row r="288" spans="1:15">
      <c r="A288" s="3"/>
      <c r="B288" s="3"/>
      <c r="C288" s="3"/>
      <c r="D288" s="3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</row>
    <row r="289" spans="1:15">
      <c r="A289" s="3"/>
      <c r="B289" s="3"/>
      <c r="C289" s="3"/>
      <c r="D289" s="3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</row>
    <row r="290" spans="1:15">
      <c r="A290" s="3"/>
      <c r="B290" s="3"/>
      <c r="C290" s="3"/>
      <c r="D290" s="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</row>
    <row r="291" spans="1:15">
      <c r="A291" s="3"/>
      <c r="B291" s="3"/>
      <c r="C291" s="3"/>
      <c r="D291" s="3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</row>
    <row r="292" spans="1:15">
      <c r="A292" s="3"/>
      <c r="B292" s="3"/>
      <c r="C292" s="3"/>
      <c r="D292" s="3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</row>
    <row r="293" spans="1:15">
      <c r="A293" s="3"/>
      <c r="B293" s="3"/>
      <c r="C293" s="3"/>
      <c r="D293" s="3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</row>
    <row r="294" spans="1:15">
      <c r="A294" s="3"/>
      <c r="B294" s="3"/>
      <c r="C294" s="3"/>
      <c r="D294" s="3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</row>
    <row r="295" spans="1:15">
      <c r="A295" s="3"/>
      <c r="B295" s="3"/>
      <c r="C295" s="3"/>
      <c r="D295" s="3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</row>
    <row r="296" spans="1:15">
      <c r="A296" s="3"/>
      <c r="B296" s="3"/>
      <c r="C296" s="3"/>
      <c r="D296" s="3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</row>
    <row r="297" spans="1:15">
      <c r="A297" s="3"/>
      <c r="B297" s="3"/>
      <c r="C297" s="3"/>
      <c r="D297" s="3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</row>
    <row r="298" spans="1:15">
      <c r="A298" s="3"/>
      <c r="B298" s="3"/>
      <c r="C298" s="3"/>
      <c r="D298" s="3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</row>
    <row r="299" spans="1:15">
      <c r="A299" s="3"/>
      <c r="B299" s="3"/>
      <c r="C299" s="3"/>
      <c r="D299" s="3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</row>
    <row r="300" spans="1:15">
      <c r="A300" s="3"/>
      <c r="B300" s="3"/>
      <c r="C300" s="3"/>
      <c r="D300" s="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</row>
    <row r="301" spans="1:15">
      <c r="A301" s="3"/>
      <c r="B301" s="3"/>
      <c r="C301" s="3"/>
      <c r="D301" s="3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</row>
    <row r="302" spans="1:15">
      <c r="A302" s="3"/>
      <c r="B302" s="3"/>
      <c r="C302" s="3"/>
      <c r="D302" s="3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</row>
    <row r="303" spans="1:15">
      <c r="A303" s="3"/>
      <c r="B303" s="3"/>
      <c r="C303" s="3"/>
      <c r="D303" s="3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</row>
    <row r="304" spans="1:15">
      <c r="A304" s="3"/>
      <c r="B304" s="3"/>
      <c r="C304" s="3"/>
      <c r="D304" s="3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</row>
    <row r="305" spans="1:15">
      <c r="A305" s="3"/>
      <c r="B305" s="3"/>
      <c r="C305" s="3"/>
      <c r="D305" s="3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</row>
    <row r="306" spans="1:15">
      <c r="A306" s="3"/>
      <c r="B306" s="3"/>
      <c r="C306" s="3"/>
      <c r="D306" s="3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</row>
    <row r="307" spans="1:15">
      <c r="A307" s="3"/>
      <c r="B307" s="3"/>
      <c r="C307" s="3"/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</row>
    <row r="308" spans="1:15">
      <c r="A308" s="3"/>
      <c r="B308" s="3"/>
      <c r="C308" s="3"/>
      <c r="D308" s="3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</row>
    <row r="309" spans="1:15">
      <c r="A309" s="3"/>
      <c r="B309" s="3"/>
      <c r="C309" s="3"/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</row>
    <row r="310" spans="1:15">
      <c r="A310" s="3"/>
      <c r="B310" s="3"/>
      <c r="C310" s="3"/>
      <c r="D310" s="3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</row>
    <row r="311" spans="1:15">
      <c r="A311" s="3"/>
      <c r="B311" s="3"/>
      <c r="C311" s="3"/>
      <c r="D311" s="3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</row>
    <row r="312" spans="1:15">
      <c r="A312" s="3"/>
      <c r="B312" s="3"/>
      <c r="C312" s="3"/>
      <c r="D312" s="3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</row>
    <row r="313" spans="1:15">
      <c r="A313" s="3"/>
      <c r="B313" s="3"/>
      <c r="C313" s="3"/>
      <c r="D313" s="3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</row>
    <row r="314" spans="1:15">
      <c r="A314" s="3"/>
      <c r="B314" s="3"/>
      <c r="C314" s="3"/>
      <c r="D314" s="3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</row>
    <row r="315" spans="1:15">
      <c r="A315" s="3"/>
      <c r="B315" s="3"/>
      <c r="C315" s="3"/>
      <c r="D315" s="3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3"/>
    </row>
    <row r="316" spans="1:15">
      <c r="A316" s="3"/>
      <c r="B316" s="3"/>
      <c r="C316" s="3"/>
      <c r="D316" s="3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</row>
    <row r="317" spans="1:15">
      <c r="A317" s="3"/>
      <c r="B317" s="3"/>
      <c r="C317" s="3"/>
      <c r="D317" s="3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</row>
    <row r="318" spans="1:15">
      <c r="A318" s="3"/>
      <c r="B318" s="3"/>
      <c r="C318" s="3"/>
      <c r="D318" s="3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</row>
    <row r="319" spans="1:15">
      <c r="A319" s="3"/>
      <c r="B319" s="3"/>
      <c r="C319" s="3"/>
      <c r="D319" s="3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</row>
    <row r="320" spans="1:15">
      <c r="A320" s="3"/>
      <c r="B320" s="3"/>
      <c r="C320" s="3"/>
      <c r="D320" s="3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3"/>
    </row>
    <row r="321" spans="1:15">
      <c r="A321" s="3"/>
      <c r="B321" s="3"/>
      <c r="C321" s="3"/>
      <c r="D321" s="3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3"/>
    </row>
    <row r="322" spans="1:15">
      <c r="A322" s="3"/>
      <c r="B322" s="3"/>
      <c r="C322" s="3"/>
      <c r="D322" s="3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3"/>
    </row>
    <row r="323" spans="1:15">
      <c r="A323" s="3"/>
      <c r="B323" s="3"/>
      <c r="C323" s="3"/>
      <c r="D323" s="3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3"/>
    </row>
    <row r="324" spans="1:15">
      <c r="A324" s="3"/>
      <c r="B324" s="3"/>
      <c r="C324" s="3"/>
      <c r="D324" s="3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3"/>
    </row>
    <row r="325" spans="1:15">
      <c r="A325" s="3"/>
      <c r="B325" s="3"/>
      <c r="C325" s="3"/>
      <c r="D325" s="3"/>
      <c r="E325" s="3"/>
      <c r="F325" s="4"/>
      <c r="G325" s="3"/>
      <c r="H325" s="3"/>
      <c r="I325" s="3"/>
      <c r="J325" s="3"/>
      <c r="K325" s="3"/>
      <c r="L325" s="3"/>
      <c r="M325" s="3"/>
      <c r="N325" s="3"/>
      <c r="O325" s="3"/>
    </row>
    <row r="326" spans="1:15">
      <c r="A326" s="3"/>
      <c r="B326" s="3"/>
      <c r="C326" s="3"/>
      <c r="D326" s="3"/>
      <c r="E326" s="3"/>
      <c r="F326" s="4"/>
      <c r="G326" s="3"/>
      <c r="H326" s="3"/>
      <c r="I326" s="3"/>
      <c r="J326" s="3"/>
      <c r="K326" s="3"/>
      <c r="L326" s="3"/>
      <c r="M326" s="3"/>
      <c r="N326" s="3"/>
      <c r="O326" s="3"/>
    </row>
    <row r="327" spans="1:15">
      <c r="A327" s="3"/>
      <c r="B327" s="3"/>
      <c r="C327" s="3"/>
      <c r="D327" s="3"/>
      <c r="E327" s="3"/>
      <c r="F327" s="4"/>
      <c r="G327" s="3"/>
      <c r="H327" s="3"/>
      <c r="I327" s="3"/>
      <c r="J327" s="3"/>
      <c r="K327" s="3"/>
      <c r="L327" s="3"/>
      <c r="M327" s="3"/>
      <c r="N327" s="3"/>
      <c r="O327" s="3"/>
    </row>
    <row r="328" spans="1:15">
      <c r="A328" s="3"/>
      <c r="B328" s="3"/>
      <c r="C328" s="3"/>
      <c r="D328" s="3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3"/>
    </row>
    <row r="329" spans="1:15">
      <c r="A329" s="3"/>
      <c r="B329" s="3"/>
      <c r="C329" s="3"/>
      <c r="D329" s="3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3"/>
    </row>
    <row r="330" spans="1:15">
      <c r="A330" s="3"/>
      <c r="B330" s="3"/>
      <c r="C330" s="3"/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</row>
    <row r="331" spans="1:15">
      <c r="A331" s="3"/>
      <c r="B331" s="3"/>
      <c r="C331" s="3"/>
      <c r="D331" s="3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3"/>
    </row>
    <row r="332" spans="1:15">
      <c r="A332" s="3"/>
      <c r="B332" s="3"/>
      <c r="C332" s="3"/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</row>
    <row r="333" spans="1:15">
      <c r="A333" s="3"/>
      <c r="B333" s="3"/>
      <c r="C333" s="3"/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</row>
    <row r="334" spans="1:15">
      <c r="A334" s="3"/>
      <c r="B334" s="3"/>
      <c r="C334" s="3"/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</row>
    <row r="335" spans="1:15">
      <c r="A335" s="3"/>
      <c r="B335" s="3"/>
      <c r="C335" s="3"/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</row>
    <row r="336" spans="1:15">
      <c r="A336" s="3"/>
      <c r="B336" s="3"/>
      <c r="C336" s="3"/>
      <c r="D336" s="3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</row>
    <row r="337" spans="1:15">
      <c r="A337" s="3"/>
      <c r="B337" s="3"/>
      <c r="C337" s="3"/>
      <c r="D337" s="3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3"/>
    </row>
    <row r="338" spans="1:15">
      <c r="A338" s="3"/>
      <c r="B338" s="3"/>
      <c r="C338" s="3"/>
      <c r="D338" s="3"/>
      <c r="E338" s="3"/>
      <c r="F338" s="4"/>
      <c r="G338" s="3"/>
      <c r="H338" s="3"/>
      <c r="I338" s="3"/>
      <c r="J338" s="3"/>
      <c r="K338" s="3"/>
      <c r="L338" s="3"/>
      <c r="M338" s="3"/>
      <c r="N338" s="3"/>
      <c r="O338" s="3"/>
    </row>
    <row r="339" spans="1:15">
      <c r="A339" s="3"/>
      <c r="B339" s="3"/>
      <c r="C339" s="3"/>
      <c r="D339" s="3"/>
      <c r="E339" s="3"/>
      <c r="F339" s="4"/>
      <c r="G339" s="3"/>
      <c r="H339" s="3"/>
      <c r="I339" s="3"/>
      <c r="J339" s="3"/>
      <c r="K339" s="3"/>
      <c r="L339" s="3"/>
      <c r="M339" s="3"/>
      <c r="N339" s="3"/>
      <c r="O339" s="3"/>
    </row>
    <row r="340" spans="1:15">
      <c r="A340" s="3"/>
      <c r="B340" s="3"/>
      <c r="C340" s="3"/>
      <c r="D340" s="3"/>
      <c r="E340" s="3"/>
      <c r="F340" s="4"/>
      <c r="G340" s="3"/>
      <c r="H340" s="3"/>
      <c r="I340" s="3"/>
      <c r="J340" s="3"/>
      <c r="K340" s="3"/>
      <c r="L340" s="3"/>
      <c r="M340" s="3"/>
      <c r="N340" s="3"/>
      <c r="O340" s="3"/>
    </row>
    <row r="341" spans="1:15">
      <c r="A341" s="3"/>
      <c r="B341" s="3"/>
      <c r="C341" s="3"/>
      <c r="D341" s="3"/>
      <c r="E341" s="3"/>
      <c r="F341" s="4"/>
      <c r="G341" s="3"/>
      <c r="H341" s="3"/>
      <c r="I341" s="3"/>
      <c r="J341" s="3"/>
      <c r="K341" s="3"/>
      <c r="L341" s="3"/>
      <c r="M341" s="3"/>
      <c r="N341" s="3"/>
      <c r="O341" s="3"/>
    </row>
    <row r="342" spans="1:15">
      <c r="A342" s="3"/>
      <c r="B342" s="3"/>
      <c r="C342" s="3"/>
      <c r="D342" s="3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3"/>
    </row>
    <row r="343" spans="1:15">
      <c r="A343" s="3"/>
      <c r="B343" s="3"/>
      <c r="C343" s="3"/>
      <c r="D343" s="3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3"/>
    </row>
    <row r="344" spans="1:15">
      <c r="A344" s="3"/>
      <c r="B344" s="3"/>
      <c r="C344" s="3"/>
      <c r="D344" s="3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</row>
    <row r="345" spans="1:15">
      <c r="A345" s="3"/>
      <c r="B345" s="3"/>
      <c r="C345" s="3"/>
      <c r="D345" s="3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3"/>
    </row>
    <row r="346" spans="1:15">
      <c r="A346" s="3"/>
      <c r="B346" s="3"/>
      <c r="C346" s="3"/>
      <c r="D346" s="3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3"/>
    </row>
    <row r="347" spans="1:15">
      <c r="A347" s="3"/>
      <c r="B347" s="3"/>
      <c r="C347" s="3"/>
      <c r="D347" s="3"/>
      <c r="E347" s="3"/>
      <c r="F347" s="4"/>
      <c r="G347" s="3"/>
      <c r="H347" s="3"/>
      <c r="I347" s="3"/>
      <c r="J347" s="3"/>
      <c r="K347" s="3"/>
      <c r="L347" s="3"/>
      <c r="M347" s="3"/>
      <c r="N347" s="3"/>
      <c r="O347" s="3"/>
    </row>
    <row r="348" spans="1:15">
      <c r="A348" s="3"/>
      <c r="B348" s="3"/>
      <c r="C348" s="3"/>
      <c r="D348" s="3"/>
      <c r="E348" s="3"/>
      <c r="F348" s="4"/>
      <c r="G348" s="3"/>
      <c r="H348" s="3"/>
      <c r="I348" s="3"/>
      <c r="J348" s="3"/>
      <c r="K348" s="3"/>
      <c r="L348" s="3"/>
      <c r="M348" s="3"/>
      <c r="N348" s="3"/>
      <c r="O348" s="3"/>
    </row>
    <row r="349" spans="1:15">
      <c r="A349" s="3"/>
      <c r="B349" s="3"/>
      <c r="C349" s="3"/>
      <c r="D349" s="3"/>
      <c r="E349" s="3"/>
      <c r="F349" s="4"/>
      <c r="G349" s="3"/>
      <c r="H349" s="3"/>
      <c r="I349" s="3"/>
      <c r="J349" s="3"/>
      <c r="K349" s="3"/>
      <c r="L349" s="3"/>
      <c r="M349" s="3"/>
      <c r="N349" s="3"/>
      <c r="O349" s="3"/>
    </row>
    <row r="350" spans="1:15">
      <c r="A350" s="3"/>
      <c r="B350" s="3"/>
      <c r="C350" s="3"/>
      <c r="D350" s="3"/>
      <c r="E350" s="3"/>
      <c r="F350" s="4"/>
      <c r="G350" s="3"/>
      <c r="H350" s="3"/>
      <c r="I350" s="3"/>
      <c r="J350" s="3"/>
      <c r="K350" s="3"/>
      <c r="L350" s="3"/>
      <c r="M350" s="3"/>
      <c r="N350" s="3"/>
      <c r="O350" s="3"/>
    </row>
    <row r="351" spans="1:15">
      <c r="A351" s="3"/>
      <c r="B351" s="3"/>
      <c r="C351" s="3"/>
      <c r="D351" s="3"/>
      <c r="E351" s="3"/>
      <c r="F351" s="4"/>
      <c r="G351" s="3"/>
      <c r="H351" s="3"/>
      <c r="I351" s="3"/>
      <c r="J351" s="3"/>
      <c r="K351" s="3"/>
      <c r="L351" s="3"/>
      <c r="M351" s="3"/>
      <c r="N351" s="3"/>
      <c r="O351" s="3"/>
    </row>
    <row r="352" spans="1:15">
      <c r="A352" s="3"/>
      <c r="B352" s="3"/>
      <c r="C352" s="3"/>
      <c r="D352" s="3"/>
      <c r="E352" s="3"/>
      <c r="F352" s="4"/>
      <c r="G352" s="3"/>
      <c r="H352" s="3"/>
      <c r="I352" s="3"/>
      <c r="J352" s="3"/>
      <c r="K352" s="3"/>
      <c r="L352" s="3"/>
      <c r="M352" s="3"/>
      <c r="N352" s="3"/>
      <c r="O352" s="3"/>
    </row>
    <row r="353" spans="1:15">
      <c r="A353" s="3"/>
      <c r="B353" s="3"/>
      <c r="C353" s="3"/>
      <c r="D353" s="3"/>
      <c r="E353" s="3"/>
      <c r="F353" s="4"/>
      <c r="G353" s="3"/>
      <c r="H353" s="3"/>
      <c r="I353" s="3"/>
      <c r="J353" s="3"/>
      <c r="K353" s="3"/>
      <c r="L353" s="3"/>
      <c r="M353" s="3"/>
      <c r="N353" s="3"/>
      <c r="O353" s="3"/>
    </row>
    <row r="354" spans="1:15">
      <c r="A354" s="3"/>
      <c r="B354" s="3"/>
      <c r="C354" s="3"/>
      <c r="D354" s="3"/>
      <c r="E354" s="3"/>
      <c r="F354" s="4"/>
      <c r="G354" s="3"/>
      <c r="H354" s="3"/>
      <c r="I354" s="3"/>
      <c r="J354" s="3"/>
      <c r="K354" s="3"/>
      <c r="L354" s="3"/>
      <c r="M354" s="3"/>
      <c r="N354" s="3"/>
      <c r="O354" s="3"/>
    </row>
    <row r="355" spans="1:15">
      <c r="A355" s="3"/>
      <c r="B355" s="3"/>
      <c r="C355" s="3"/>
      <c r="D355" s="3"/>
      <c r="E355" s="3"/>
      <c r="F355" s="4"/>
      <c r="G355" s="3"/>
      <c r="H355" s="3"/>
      <c r="I355" s="3"/>
      <c r="J355" s="3"/>
      <c r="K355" s="3"/>
      <c r="L355" s="3"/>
      <c r="M355" s="3"/>
      <c r="N355" s="3"/>
      <c r="O355" s="3"/>
    </row>
    <row r="356" spans="1:15">
      <c r="A356" s="3"/>
      <c r="B356" s="3"/>
      <c r="C356" s="3"/>
      <c r="D356" s="3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3"/>
    </row>
    <row r="357" spans="1:15">
      <c r="A357" s="3"/>
      <c r="B357" s="3"/>
      <c r="C357" s="3"/>
      <c r="D357" s="3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3"/>
    </row>
    <row r="358" spans="1:15">
      <c r="A358" s="3"/>
      <c r="B358" s="3"/>
      <c r="C358" s="3"/>
      <c r="D358" s="3"/>
      <c r="E358" s="3"/>
      <c r="F358" s="4"/>
      <c r="G358" s="3"/>
      <c r="H358" s="3"/>
      <c r="I358" s="3"/>
      <c r="J358" s="3"/>
      <c r="K358" s="3"/>
      <c r="L358" s="3"/>
      <c r="M358" s="3"/>
      <c r="N358" s="3"/>
      <c r="O358" s="3"/>
    </row>
    <row r="359" spans="1:15">
      <c r="A359" s="3"/>
      <c r="B359" s="3"/>
      <c r="C359" s="3"/>
      <c r="D359" s="3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3"/>
    </row>
    <row r="360" spans="1:15">
      <c r="A360" s="3"/>
      <c r="B360" s="3"/>
      <c r="C360" s="3"/>
      <c r="D360" s="3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3"/>
    </row>
    <row r="361" spans="1:15">
      <c r="A361" s="3"/>
      <c r="B361" s="3"/>
      <c r="C361" s="3"/>
      <c r="D361" s="3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3"/>
    </row>
    <row r="362" spans="1:15">
      <c r="A362" s="3"/>
      <c r="B362" s="3"/>
      <c r="C362" s="3"/>
      <c r="D362" s="3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3"/>
    </row>
    <row r="363" spans="1:15">
      <c r="A363" s="3"/>
      <c r="B363" s="3"/>
      <c r="C363" s="3"/>
      <c r="D363" s="3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3"/>
    </row>
    <row r="364" spans="1:15">
      <c r="A364" s="3"/>
      <c r="B364" s="3"/>
      <c r="C364" s="3"/>
      <c r="D364" s="3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3"/>
    </row>
    <row r="365" spans="1:15">
      <c r="A365" s="3"/>
      <c r="B365" s="3"/>
      <c r="C365" s="3"/>
      <c r="D365" s="3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3"/>
    </row>
    <row r="366" spans="1:15">
      <c r="A366" s="3"/>
      <c r="B366" s="3"/>
      <c r="C366" s="3"/>
      <c r="D366" s="3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3"/>
    </row>
    <row r="367" spans="1:15">
      <c r="A367" s="3"/>
      <c r="B367" s="3"/>
      <c r="C367" s="3"/>
      <c r="D367" s="3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3"/>
    </row>
    <row r="368" spans="1:15">
      <c r="A368" s="3"/>
      <c r="B368" s="3"/>
      <c r="C368" s="3"/>
      <c r="D368" s="3"/>
      <c r="E368" s="3"/>
      <c r="F368" s="4"/>
      <c r="G368" s="3"/>
      <c r="H368" s="3"/>
      <c r="I368" s="3"/>
      <c r="J368" s="3"/>
      <c r="K368" s="3"/>
      <c r="L368" s="3"/>
      <c r="M368" s="3"/>
      <c r="N368" s="3"/>
      <c r="O368" s="3"/>
    </row>
    <row r="369" spans="1:15">
      <c r="A369" s="3"/>
      <c r="B369" s="3"/>
      <c r="C369" s="3"/>
      <c r="D369" s="3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3"/>
    </row>
    <row r="370" spans="1:15">
      <c r="A370" s="3"/>
      <c r="B370" s="3"/>
      <c r="C370" s="3"/>
      <c r="D370" s="3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3"/>
    </row>
    <row r="371" spans="1:15">
      <c r="A371" s="3"/>
      <c r="B371" s="3"/>
      <c r="C371" s="3"/>
      <c r="D371" s="3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3"/>
    </row>
    <row r="372" spans="1:15">
      <c r="A372" s="3"/>
      <c r="B372" s="3"/>
      <c r="C372" s="3"/>
      <c r="D372" s="3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3"/>
    </row>
    <row r="373" spans="1:15">
      <c r="A373" s="3"/>
      <c r="B373" s="3"/>
      <c r="C373" s="3"/>
      <c r="D373" s="3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3"/>
    </row>
    <row r="374" spans="1:15">
      <c r="A374" s="3"/>
      <c r="B374" s="3"/>
      <c r="C374" s="3"/>
      <c r="D374" s="3"/>
      <c r="E374" s="3"/>
      <c r="F374" s="4"/>
      <c r="G374" s="3"/>
      <c r="H374" s="3"/>
      <c r="I374" s="3"/>
      <c r="J374" s="3"/>
      <c r="K374" s="3"/>
      <c r="L374" s="3"/>
      <c r="M374" s="3"/>
      <c r="N374" s="3"/>
      <c r="O374" s="3"/>
    </row>
    <row r="375" spans="1:15">
      <c r="A375" s="3"/>
      <c r="B375" s="3"/>
      <c r="C375" s="3"/>
      <c r="D375" s="3"/>
      <c r="E375" s="3"/>
      <c r="F375" s="4"/>
      <c r="G375" s="3"/>
      <c r="H375" s="3"/>
      <c r="I375" s="3"/>
      <c r="J375" s="3"/>
      <c r="K375" s="3"/>
      <c r="L375" s="3"/>
      <c r="M375" s="3"/>
      <c r="N375" s="3"/>
      <c r="O375" s="3"/>
    </row>
    <row r="376" spans="1:15">
      <c r="A376" s="3"/>
      <c r="B376" s="3"/>
      <c r="C376" s="3"/>
      <c r="D376" s="3"/>
      <c r="E376" s="3"/>
      <c r="F376" s="4"/>
      <c r="G376" s="3"/>
      <c r="H376" s="3"/>
      <c r="I376" s="3"/>
      <c r="J376" s="3"/>
      <c r="K376" s="3"/>
      <c r="L376" s="3"/>
      <c r="M376" s="3"/>
      <c r="N376" s="3"/>
      <c r="O376" s="3"/>
    </row>
    <row r="377" spans="1:15">
      <c r="A377" s="3"/>
      <c r="B377" s="3"/>
      <c r="C377" s="3"/>
      <c r="D377" s="3"/>
      <c r="E377" s="3"/>
      <c r="F377" s="4"/>
      <c r="G377" s="3"/>
      <c r="H377" s="3"/>
      <c r="I377" s="3"/>
      <c r="J377" s="3"/>
      <c r="K377" s="3"/>
      <c r="L377" s="3"/>
      <c r="M377" s="3"/>
      <c r="N377" s="3"/>
      <c r="O377" s="3"/>
    </row>
    <row r="378" spans="1:15">
      <c r="A378" s="3"/>
      <c r="B378" s="3"/>
      <c r="C378" s="3"/>
      <c r="D378" s="3"/>
      <c r="E378" s="3"/>
      <c r="F378" s="4"/>
      <c r="G378" s="3"/>
      <c r="H378" s="3"/>
      <c r="I378" s="3"/>
      <c r="J378" s="3"/>
      <c r="K378" s="3"/>
      <c r="L378" s="3"/>
      <c r="M378" s="3"/>
      <c r="N378" s="3"/>
      <c r="O378" s="3"/>
    </row>
    <row r="379" spans="1:15">
      <c r="A379" s="3"/>
      <c r="B379" s="3"/>
      <c r="C379" s="3"/>
      <c r="D379" s="3"/>
      <c r="E379" s="3"/>
      <c r="F379" s="4"/>
      <c r="G379" s="3"/>
      <c r="H379" s="3"/>
      <c r="I379" s="3"/>
      <c r="J379" s="3"/>
      <c r="K379" s="3"/>
      <c r="L379" s="3"/>
      <c r="M379" s="3"/>
      <c r="N379" s="3"/>
      <c r="O379" s="3"/>
    </row>
    <row r="380" spans="1:15">
      <c r="A380" s="3"/>
      <c r="B380" s="3"/>
      <c r="C380" s="3"/>
      <c r="D380" s="3"/>
      <c r="E380" s="3"/>
      <c r="F380" s="4"/>
      <c r="G380" s="3"/>
      <c r="H380" s="3"/>
      <c r="I380" s="3"/>
      <c r="J380" s="3"/>
      <c r="K380" s="3"/>
      <c r="L380" s="3"/>
      <c r="M380" s="3"/>
      <c r="N380" s="3"/>
      <c r="O380" s="3"/>
    </row>
    <row r="381" spans="1:15">
      <c r="A381" s="3"/>
      <c r="B381" s="3"/>
      <c r="C381" s="3"/>
      <c r="D381" s="3"/>
      <c r="E381" s="3"/>
      <c r="F381" s="4"/>
      <c r="G381" s="3"/>
      <c r="H381" s="3"/>
      <c r="I381" s="3"/>
      <c r="J381" s="3"/>
      <c r="K381" s="3"/>
      <c r="L381" s="3"/>
      <c r="M381" s="3"/>
      <c r="N381" s="3"/>
      <c r="O381" s="3"/>
    </row>
    <row r="382" spans="1:15">
      <c r="A382" s="3"/>
      <c r="B382" s="3"/>
      <c r="C382" s="3"/>
      <c r="D382" s="3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3"/>
    </row>
    <row r="383" spans="1:15">
      <c r="A383" s="3"/>
      <c r="B383" s="3"/>
      <c r="C383" s="3"/>
      <c r="D383" s="3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3"/>
    </row>
    <row r="384" spans="1:15">
      <c r="A384" s="3"/>
      <c r="B384" s="3"/>
      <c r="C384" s="3"/>
      <c r="D384" s="3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3"/>
    </row>
    <row r="385" spans="1:15">
      <c r="A385" s="3"/>
      <c r="B385" s="3"/>
      <c r="C385" s="3"/>
      <c r="D385" s="3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3"/>
    </row>
    <row r="386" spans="1:15">
      <c r="A386" s="3"/>
      <c r="B386" s="3"/>
      <c r="C386" s="3"/>
      <c r="D386" s="3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3"/>
    </row>
    <row r="387" spans="1:15">
      <c r="A387" s="3"/>
      <c r="B387" s="3"/>
      <c r="C387" s="3"/>
      <c r="D387" s="3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3"/>
    </row>
    <row r="388" spans="1:15">
      <c r="A388" s="3"/>
      <c r="B388" s="3"/>
      <c r="C388" s="3"/>
      <c r="D388" s="3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3"/>
    </row>
    <row r="389" spans="1:15">
      <c r="A389" s="3"/>
      <c r="B389" s="3"/>
      <c r="C389" s="3"/>
      <c r="D389" s="3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3"/>
    </row>
    <row r="390" spans="1:15">
      <c r="A390" s="3"/>
      <c r="B390" s="3"/>
      <c r="C390" s="3"/>
      <c r="D390" s="3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3"/>
    </row>
    <row r="391" spans="1:15">
      <c r="A391" s="3"/>
      <c r="B391" s="3"/>
      <c r="C391" s="3"/>
      <c r="D391" s="3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3"/>
    </row>
    <row r="392" spans="1:15">
      <c r="A392" s="3"/>
      <c r="B392" s="3"/>
      <c r="C392" s="3"/>
      <c r="D392" s="3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3"/>
    </row>
    <row r="393" spans="1:15">
      <c r="A393" s="3"/>
      <c r="B393" s="3"/>
      <c r="C393" s="3"/>
      <c r="D393" s="3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3"/>
    </row>
    <row r="394" spans="1:15">
      <c r="A394" s="3"/>
      <c r="B394" s="3"/>
      <c r="C394" s="3"/>
      <c r="D394" s="3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3"/>
    </row>
    <row r="395" spans="1:15">
      <c r="A395" s="3"/>
      <c r="B395" s="3"/>
      <c r="C395" s="3"/>
      <c r="D395" s="3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3"/>
    </row>
    <row r="396" spans="1:15">
      <c r="A396" s="3"/>
      <c r="B396" s="3"/>
      <c r="C396" s="3"/>
      <c r="D396" s="3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3"/>
    </row>
    <row r="397" spans="1:15">
      <c r="A397" s="3"/>
      <c r="B397" s="3"/>
      <c r="C397" s="3"/>
      <c r="D397" s="3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3"/>
    </row>
    <row r="398" spans="1:15">
      <c r="A398" s="3"/>
      <c r="B398" s="3"/>
      <c r="C398" s="3"/>
      <c r="D398" s="3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3"/>
    </row>
    <row r="399" spans="1:15">
      <c r="A399" s="3"/>
      <c r="B399" s="3"/>
      <c r="C399" s="3"/>
      <c r="D399" s="3"/>
      <c r="E399" s="3"/>
      <c r="F399" s="4"/>
      <c r="G399" s="3"/>
      <c r="H399" s="3"/>
      <c r="I399" s="3"/>
      <c r="J399" s="3"/>
      <c r="K399" s="3"/>
      <c r="L399" s="3"/>
      <c r="M399" s="3"/>
      <c r="N399" s="3"/>
      <c r="O399" s="3"/>
    </row>
    <row r="400" spans="1:15">
      <c r="A400" s="3"/>
      <c r="B400" s="3"/>
      <c r="C400" s="3"/>
      <c r="D400" s="3"/>
      <c r="E400" s="3"/>
      <c r="F400" s="4"/>
      <c r="G400" s="3"/>
      <c r="H400" s="3"/>
      <c r="I400" s="3"/>
      <c r="J400" s="3"/>
      <c r="K400" s="3"/>
      <c r="L400" s="3"/>
      <c r="M400" s="3"/>
      <c r="N400" s="3"/>
      <c r="O400" s="3"/>
    </row>
    <row r="401" spans="1:15">
      <c r="A401" s="3"/>
      <c r="B401" s="3"/>
      <c r="C401" s="3"/>
      <c r="D401" s="3"/>
      <c r="E401" s="3"/>
      <c r="F401" s="4"/>
      <c r="G401" s="3"/>
      <c r="H401" s="3"/>
      <c r="I401" s="3"/>
      <c r="J401" s="3"/>
      <c r="K401" s="3"/>
      <c r="L401" s="3"/>
      <c r="M401" s="3"/>
      <c r="N401" s="3"/>
      <c r="O401" s="3"/>
    </row>
    <row r="402" spans="1:15">
      <c r="A402" s="3"/>
      <c r="B402" s="3"/>
      <c r="C402" s="3"/>
      <c r="D402" s="3"/>
      <c r="E402" s="3"/>
      <c r="F402" s="4"/>
      <c r="G402" s="3"/>
      <c r="H402" s="3"/>
      <c r="I402" s="3"/>
      <c r="J402" s="3"/>
      <c r="K402" s="3"/>
      <c r="L402" s="3"/>
      <c r="M402" s="3"/>
      <c r="N402" s="3"/>
      <c r="O402" s="3"/>
    </row>
    <row r="403" spans="1:15">
      <c r="A403" s="3"/>
      <c r="B403" s="3"/>
      <c r="C403" s="3"/>
      <c r="D403" s="3"/>
      <c r="E403" s="3"/>
      <c r="F403" s="4"/>
      <c r="G403" s="3"/>
      <c r="H403" s="3"/>
      <c r="I403" s="3"/>
      <c r="J403" s="3"/>
      <c r="K403" s="3"/>
      <c r="L403" s="3"/>
      <c r="M403" s="3"/>
      <c r="N403" s="3"/>
      <c r="O403" s="3"/>
    </row>
    <row r="404" spans="1:15">
      <c r="A404" s="3"/>
      <c r="B404" s="3"/>
      <c r="C404" s="3"/>
      <c r="D404" s="3"/>
      <c r="E404" s="3"/>
      <c r="F404" s="4"/>
      <c r="G404" s="3"/>
      <c r="H404" s="3"/>
      <c r="I404" s="3"/>
      <c r="J404" s="3"/>
      <c r="K404" s="3"/>
      <c r="L404" s="3"/>
      <c r="M404" s="3"/>
      <c r="N404" s="3"/>
      <c r="O404" s="3"/>
    </row>
    <row r="405" spans="1:15">
      <c r="A405" s="3"/>
      <c r="B405" s="3"/>
      <c r="C405" s="3"/>
      <c r="D405" s="3"/>
      <c r="E405" s="3"/>
      <c r="F405" s="4"/>
      <c r="G405" s="3"/>
      <c r="H405" s="3"/>
      <c r="I405" s="3"/>
      <c r="J405" s="3"/>
      <c r="K405" s="3"/>
      <c r="L405" s="3"/>
      <c r="M405" s="3"/>
      <c r="N405" s="3"/>
      <c r="O405" s="3"/>
    </row>
    <row r="406" spans="1:15">
      <c r="A406" s="3"/>
      <c r="B406" s="3"/>
      <c r="C406" s="3"/>
      <c r="D406" s="3"/>
      <c r="E406" s="3"/>
      <c r="F406" s="4"/>
      <c r="G406" s="3"/>
      <c r="H406" s="3"/>
      <c r="I406" s="3"/>
      <c r="J406" s="3"/>
      <c r="K406" s="3"/>
      <c r="L406" s="3"/>
      <c r="M406" s="3"/>
      <c r="N406" s="3"/>
      <c r="O406" s="3"/>
    </row>
    <row r="407" spans="1:15">
      <c r="A407" s="3"/>
      <c r="B407" s="3"/>
      <c r="C407" s="3"/>
      <c r="D407" s="3"/>
      <c r="E407" s="3"/>
      <c r="F407" s="4"/>
      <c r="G407" s="3"/>
      <c r="H407" s="3"/>
      <c r="I407" s="3"/>
      <c r="J407" s="3"/>
      <c r="K407" s="3"/>
      <c r="L407" s="3"/>
      <c r="M407" s="3"/>
      <c r="N407" s="3"/>
      <c r="O407" s="3"/>
    </row>
    <row r="408" spans="1:15">
      <c r="A408" s="3"/>
      <c r="B408" s="3"/>
      <c r="C408" s="3"/>
      <c r="D408" s="3"/>
      <c r="E408" s="3"/>
      <c r="F408" s="4"/>
      <c r="G408" s="3"/>
      <c r="H408" s="3"/>
      <c r="I408" s="3"/>
      <c r="J408" s="3"/>
      <c r="K408" s="3"/>
      <c r="L408" s="3"/>
      <c r="M408" s="3"/>
      <c r="N408" s="3"/>
      <c r="O408" s="3"/>
    </row>
    <row r="409" spans="1:15">
      <c r="A409" s="3"/>
      <c r="B409" s="3"/>
      <c r="C409" s="3"/>
      <c r="D409" s="3"/>
      <c r="E409" s="3"/>
      <c r="F409" s="4"/>
      <c r="G409" s="3"/>
      <c r="H409" s="3"/>
      <c r="I409" s="3"/>
      <c r="J409" s="3"/>
      <c r="K409" s="3"/>
      <c r="L409" s="3"/>
      <c r="M409" s="3"/>
      <c r="N409" s="3"/>
      <c r="O409" s="3"/>
    </row>
    <row r="410" spans="1:15">
      <c r="A410" s="3"/>
      <c r="B410" s="3"/>
      <c r="C410" s="3"/>
      <c r="D410" s="3"/>
      <c r="E410" s="3"/>
      <c r="F410" s="4"/>
      <c r="G410" s="3"/>
      <c r="H410" s="3"/>
      <c r="I410" s="3"/>
      <c r="J410" s="3"/>
      <c r="K410" s="3"/>
      <c r="L410" s="3"/>
      <c r="M410" s="3"/>
      <c r="N410" s="3"/>
      <c r="O410" s="3"/>
    </row>
    <row r="411" spans="1:15">
      <c r="A411" s="3"/>
      <c r="B411" s="3"/>
      <c r="C411" s="3"/>
      <c r="D411" s="3"/>
      <c r="E411" s="3"/>
      <c r="F411" s="4"/>
      <c r="G411" s="3"/>
      <c r="H411" s="3"/>
      <c r="I411" s="3"/>
      <c r="J411" s="3"/>
      <c r="K411" s="3"/>
      <c r="L411" s="3"/>
      <c r="M411" s="3"/>
      <c r="N411" s="3"/>
      <c r="O411" s="3"/>
    </row>
    <row r="412" spans="1:15">
      <c r="A412" s="3"/>
      <c r="B412" s="3"/>
      <c r="C412" s="3"/>
      <c r="D412" s="3"/>
      <c r="E412" s="3"/>
      <c r="F412" s="4"/>
      <c r="G412" s="3"/>
      <c r="H412" s="3"/>
      <c r="I412" s="3"/>
      <c r="J412" s="3"/>
      <c r="K412" s="3"/>
      <c r="L412" s="3"/>
      <c r="M412" s="3"/>
      <c r="N412" s="3"/>
      <c r="O412" s="3"/>
    </row>
    <row r="413" spans="1:15">
      <c r="A413" s="3"/>
      <c r="B413" s="3"/>
      <c r="C413" s="3"/>
      <c r="D413" s="3"/>
      <c r="E413" s="3"/>
      <c r="F413" s="4"/>
      <c r="G413" s="3"/>
      <c r="H413" s="3"/>
      <c r="I413" s="3"/>
      <c r="J413" s="3"/>
      <c r="K413" s="3"/>
      <c r="L413" s="3"/>
      <c r="M413" s="3"/>
      <c r="N413" s="3"/>
      <c r="O413" s="3"/>
    </row>
    <row r="414" spans="1:15">
      <c r="A414" s="3"/>
      <c r="B414" s="3"/>
      <c r="C414" s="3"/>
      <c r="D414" s="3"/>
      <c r="E414" s="3"/>
      <c r="F414" s="4"/>
      <c r="G414" s="3"/>
      <c r="H414" s="3"/>
      <c r="I414" s="3"/>
      <c r="J414" s="3"/>
      <c r="K414" s="3"/>
      <c r="L414" s="3"/>
      <c r="M414" s="3"/>
      <c r="N414" s="3"/>
      <c r="O414" s="3"/>
    </row>
    <row r="415" spans="1:15">
      <c r="A415" s="3"/>
      <c r="B415" s="3"/>
      <c r="C415" s="3"/>
      <c r="D415" s="3"/>
      <c r="E415" s="3"/>
      <c r="F415" s="4"/>
      <c r="G415" s="3"/>
      <c r="H415" s="3"/>
      <c r="I415" s="3"/>
      <c r="J415" s="3"/>
      <c r="K415" s="3"/>
      <c r="L415" s="3"/>
      <c r="M415" s="3"/>
      <c r="N415" s="3"/>
      <c r="O415" s="3"/>
    </row>
    <row r="416" spans="1:15">
      <c r="A416" s="3"/>
      <c r="B416" s="3"/>
      <c r="C416" s="3"/>
      <c r="D416" s="3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3"/>
    </row>
    <row r="417" spans="1:15">
      <c r="A417" s="3"/>
      <c r="B417" s="3"/>
      <c r="C417" s="3"/>
      <c r="D417" s="3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3"/>
    </row>
    <row r="418" spans="1:15">
      <c r="A418" s="3"/>
      <c r="B418" s="3"/>
      <c r="C418" s="3"/>
      <c r="D418" s="3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3"/>
    </row>
    <row r="419" spans="1:15">
      <c r="A419" s="3"/>
      <c r="B419" s="3"/>
      <c r="C419" s="3"/>
      <c r="D419" s="3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3"/>
    </row>
    <row r="420" spans="1:15">
      <c r="A420" s="3"/>
      <c r="B420" s="3"/>
      <c r="C420" s="3"/>
      <c r="D420" s="3"/>
      <c r="E420" s="3"/>
      <c r="F420" s="4"/>
      <c r="G420" s="3"/>
      <c r="H420" s="3"/>
      <c r="I420" s="3"/>
      <c r="J420" s="3"/>
      <c r="K420" s="3"/>
      <c r="L420" s="3"/>
      <c r="M420" s="3"/>
      <c r="N420" s="3"/>
      <c r="O420" s="3"/>
    </row>
    <row r="421" spans="1:15">
      <c r="A421" s="3"/>
      <c r="B421" s="3"/>
      <c r="C421" s="3"/>
      <c r="D421" s="3"/>
      <c r="E421" s="3"/>
      <c r="F421" s="4"/>
      <c r="G421" s="3"/>
      <c r="H421" s="3"/>
      <c r="I421" s="3"/>
      <c r="J421" s="3"/>
      <c r="K421" s="3"/>
      <c r="L421" s="3"/>
      <c r="M421" s="3"/>
      <c r="N421" s="3"/>
      <c r="O421" s="3"/>
    </row>
    <row r="422" spans="1:15">
      <c r="A422" s="3"/>
      <c r="B422" s="3"/>
      <c r="C422" s="3"/>
      <c r="D422" s="3"/>
      <c r="E422" s="3"/>
      <c r="F422" s="4"/>
      <c r="G422" s="3"/>
      <c r="H422" s="3"/>
      <c r="I422" s="3"/>
      <c r="J422" s="3"/>
      <c r="K422" s="3"/>
      <c r="L422" s="3"/>
      <c r="M422" s="3"/>
      <c r="N422" s="3"/>
      <c r="O422" s="3"/>
    </row>
    <row r="423" spans="1:15">
      <c r="A423" s="3"/>
      <c r="B423" s="3"/>
      <c r="C423" s="3"/>
      <c r="D423" s="3"/>
      <c r="E423" s="3"/>
      <c r="F423" s="4"/>
      <c r="G423" s="3"/>
      <c r="H423" s="3"/>
      <c r="I423" s="3"/>
      <c r="J423" s="3"/>
      <c r="K423" s="3"/>
      <c r="L423" s="3"/>
      <c r="M423" s="3"/>
      <c r="N423" s="3"/>
      <c r="O423" s="3"/>
    </row>
    <row r="424" spans="1:15">
      <c r="A424" s="3"/>
      <c r="B424" s="3"/>
      <c r="C424" s="3"/>
      <c r="D424" s="3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3"/>
    </row>
    <row r="425" spans="1:15">
      <c r="A425" s="3"/>
      <c r="B425" s="3"/>
      <c r="C425" s="3"/>
      <c r="D425" s="3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3"/>
    </row>
    <row r="426" spans="1:15">
      <c r="A426" s="3"/>
      <c r="B426" s="3"/>
      <c r="C426" s="3"/>
      <c r="D426" s="3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3"/>
    </row>
    <row r="427" spans="1:15">
      <c r="A427" s="3"/>
      <c r="B427" s="3"/>
      <c r="C427" s="3"/>
      <c r="D427" s="3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3"/>
    </row>
    <row r="428" spans="1:15">
      <c r="A428" s="3"/>
      <c r="B428" s="3"/>
      <c r="C428" s="3"/>
      <c r="D428" s="3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3"/>
    </row>
    <row r="429" spans="1:15">
      <c r="A429" s="3"/>
      <c r="B429" s="3"/>
      <c r="C429" s="3"/>
      <c r="D429" s="3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3"/>
    </row>
    <row r="430" spans="1:15">
      <c r="A430" s="3"/>
      <c r="B430" s="3"/>
      <c r="C430" s="3"/>
      <c r="D430" s="3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3"/>
    </row>
    <row r="431" spans="1:15">
      <c r="A431" s="3"/>
      <c r="B431" s="3"/>
      <c r="C431" s="3"/>
      <c r="D431" s="3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3"/>
    </row>
    <row r="432" spans="1:15">
      <c r="A432" s="3"/>
      <c r="B432" s="3"/>
      <c r="C432" s="3"/>
      <c r="D432" s="3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3"/>
    </row>
    <row r="433" spans="1:15">
      <c r="A433" s="3"/>
      <c r="B433" s="3"/>
      <c r="C433" s="3"/>
      <c r="D433" s="3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3"/>
    </row>
    <row r="434" spans="1:15">
      <c r="A434" s="3"/>
      <c r="B434" s="3"/>
      <c r="C434" s="3"/>
      <c r="D434" s="3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3"/>
    </row>
    <row r="435" spans="1:15">
      <c r="A435" s="3"/>
      <c r="B435" s="3"/>
      <c r="C435" s="3"/>
      <c r="D435" s="3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3"/>
    </row>
    <row r="436" spans="1:15">
      <c r="A436" s="3"/>
      <c r="B436" s="3"/>
      <c r="C436" s="3"/>
      <c r="D436" s="3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3"/>
    </row>
    <row r="437" spans="1:15">
      <c r="A437" s="3"/>
      <c r="B437" s="3"/>
      <c r="C437" s="3"/>
      <c r="D437" s="3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3"/>
    </row>
    <row r="438" spans="1:15">
      <c r="A438" s="3"/>
      <c r="B438" s="3"/>
      <c r="C438" s="3"/>
      <c r="D438" s="3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3"/>
    </row>
    <row r="439" spans="1:15">
      <c r="A439" s="3"/>
      <c r="B439" s="3"/>
      <c r="C439" s="3"/>
      <c r="D439" s="3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3"/>
    </row>
    <row r="440" spans="1:15">
      <c r="A440" s="3"/>
      <c r="B440" s="3"/>
      <c r="C440" s="3"/>
      <c r="D440" s="3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3"/>
    </row>
    <row r="441" spans="1:15">
      <c r="A441" s="3"/>
      <c r="B441" s="3"/>
      <c r="C441" s="3"/>
      <c r="D441" s="3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3"/>
    </row>
    <row r="442" spans="1:15">
      <c r="A442" s="3"/>
      <c r="B442" s="3"/>
      <c r="C442" s="3"/>
      <c r="D442" s="3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3"/>
    </row>
    <row r="443" spans="1:15">
      <c r="A443" s="3"/>
      <c r="B443" s="3"/>
      <c r="C443" s="3"/>
      <c r="D443" s="3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3"/>
    </row>
    <row r="444" spans="1:15">
      <c r="A444" s="3"/>
      <c r="B444" s="3"/>
      <c r="C444" s="3"/>
      <c r="D444" s="3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3"/>
    </row>
    <row r="445" spans="1:15">
      <c r="A445" s="3"/>
      <c r="B445" s="3"/>
      <c r="C445" s="3"/>
      <c r="D445" s="3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3"/>
    </row>
    <row r="446" spans="1:15">
      <c r="A446" s="3"/>
      <c r="B446" s="3"/>
      <c r="C446" s="3"/>
      <c r="D446" s="3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3"/>
    </row>
    <row r="447" spans="1:15">
      <c r="A447" s="3"/>
      <c r="B447" s="3"/>
      <c r="C447" s="3"/>
      <c r="D447" s="3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3"/>
    </row>
    <row r="448" spans="1:15">
      <c r="A448" s="3"/>
      <c r="B448" s="3"/>
      <c r="C448" s="3"/>
      <c r="D448" s="3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3"/>
    </row>
    <row r="449" spans="1:15">
      <c r="A449" s="3"/>
      <c r="B449" s="3"/>
      <c r="C449" s="3"/>
      <c r="D449" s="3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3"/>
    </row>
    <row r="450" spans="1:15">
      <c r="A450" s="3"/>
      <c r="B450" s="3"/>
      <c r="C450" s="3"/>
      <c r="D450" s="3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3"/>
    </row>
    <row r="451" spans="1:15">
      <c r="A451" s="3"/>
      <c r="B451" s="3"/>
      <c r="C451" s="3"/>
      <c r="D451" s="3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3"/>
    </row>
    <row r="452" spans="1:15">
      <c r="A452" s="3"/>
      <c r="B452" s="3"/>
      <c r="C452" s="3"/>
      <c r="D452" s="3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3"/>
    </row>
    <row r="453" spans="1:15">
      <c r="A453" s="3"/>
      <c r="B453" s="3"/>
      <c r="C453" s="3"/>
      <c r="D453" s="3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3"/>
    </row>
    <row r="454" spans="1:15">
      <c r="A454" s="3"/>
      <c r="B454" s="3"/>
      <c r="C454" s="3"/>
      <c r="D454" s="3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3"/>
    </row>
    <row r="455" spans="1:15">
      <c r="A455" s="3"/>
      <c r="B455" s="3"/>
      <c r="C455" s="3"/>
      <c r="D455" s="3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3"/>
    </row>
    <row r="456" spans="1:15">
      <c r="A456" s="3"/>
      <c r="B456" s="3"/>
      <c r="C456" s="3"/>
      <c r="D456" s="3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3"/>
    </row>
    <row r="457" spans="1:15">
      <c r="A457" s="3"/>
      <c r="B457" s="3"/>
      <c r="C457" s="3"/>
      <c r="D457" s="3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3"/>
    </row>
    <row r="458" spans="1:15">
      <c r="A458" s="3"/>
      <c r="B458" s="3"/>
      <c r="C458" s="3"/>
      <c r="D458" s="3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3"/>
    </row>
    <row r="459" spans="1:15">
      <c r="A459" s="3"/>
      <c r="B459" s="3"/>
      <c r="C459" s="3"/>
      <c r="D459" s="3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3"/>
    </row>
    <row r="460" spans="1:15">
      <c r="A460" s="3"/>
      <c r="B460" s="3"/>
      <c r="C460" s="3"/>
      <c r="D460" s="3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3"/>
    </row>
    <row r="461" spans="1:15">
      <c r="A461" s="3"/>
      <c r="B461" s="3"/>
      <c r="C461" s="3"/>
      <c r="D461" s="3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3"/>
    </row>
    <row r="462" spans="1:15">
      <c r="A462" s="3"/>
      <c r="B462" s="3"/>
      <c r="C462" s="3"/>
      <c r="D462" s="3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3"/>
    </row>
    <row r="463" spans="1:15">
      <c r="A463" s="3"/>
      <c r="B463" s="3"/>
      <c r="C463" s="3"/>
      <c r="D463" s="3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3"/>
    </row>
    <row r="464" spans="1:15">
      <c r="A464" s="3"/>
      <c r="B464" s="3"/>
      <c r="C464" s="3"/>
      <c r="D464" s="3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3"/>
    </row>
    <row r="465" spans="1:15">
      <c r="A465" s="3"/>
      <c r="B465" s="3"/>
      <c r="C465" s="3"/>
      <c r="D465" s="3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3"/>
    </row>
    <row r="466" spans="1:15">
      <c r="A466" s="3"/>
      <c r="B466" s="3"/>
      <c r="C466" s="3"/>
      <c r="D466" s="3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3"/>
    </row>
    <row r="467" spans="1:15">
      <c r="A467" s="3"/>
      <c r="B467" s="3"/>
      <c r="C467" s="3"/>
      <c r="D467" s="3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</row>
    <row r="468" spans="1:15">
      <c r="A468" s="3"/>
      <c r="B468" s="3"/>
      <c r="C468" s="3"/>
      <c r="D468" s="3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</row>
    <row r="469" spans="1:15">
      <c r="A469" s="3"/>
      <c r="B469" s="3"/>
      <c r="C469" s="3"/>
      <c r="D469" s="3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3"/>
    </row>
    <row r="470" spans="1:15">
      <c r="A470" s="3"/>
      <c r="B470" s="3"/>
      <c r="C470" s="3"/>
      <c r="D470" s="3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3"/>
    </row>
    <row r="471" spans="1:15">
      <c r="A471" s="3"/>
      <c r="B471" s="3"/>
      <c r="C471" s="3"/>
      <c r="D471" s="3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3"/>
    </row>
    <row r="472" spans="1:15">
      <c r="A472" s="3"/>
      <c r="B472" s="3"/>
      <c r="C472" s="3"/>
      <c r="D472" s="3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3"/>
    </row>
    <row r="473" spans="1:15">
      <c r="A473" s="3"/>
      <c r="B473" s="3"/>
      <c r="C473" s="3"/>
      <c r="D473" s="3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3"/>
    </row>
    <row r="474" spans="1:15">
      <c r="A474" s="3"/>
      <c r="B474" s="3"/>
      <c r="C474" s="3"/>
      <c r="D474" s="3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3"/>
    </row>
    <row r="475" spans="1:15">
      <c r="A475" s="3"/>
      <c r="B475" s="3"/>
      <c r="C475" s="3"/>
      <c r="D475" s="3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3"/>
    </row>
    <row r="476" spans="1:15">
      <c r="A476" s="3"/>
      <c r="B476" s="3"/>
      <c r="C476" s="3"/>
      <c r="D476" s="3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3"/>
    </row>
    <row r="477" spans="1:15">
      <c r="A477" s="3"/>
      <c r="B477" s="3"/>
      <c r="C477" s="3"/>
      <c r="D477" s="3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3"/>
    </row>
    <row r="478" spans="1:15">
      <c r="A478" s="3"/>
      <c r="B478" s="3"/>
      <c r="C478" s="3"/>
      <c r="D478" s="3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3"/>
    </row>
    <row r="479" spans="1:15">
      <c r="A479" s="3"/>
      <c r="B479" s="3"/>
      <c r="C479" s="3"/>
      <c r="D479" s="3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3"/>
    </row>
    <row r="480" spans="1:15">
      <c r="A480" s="3"/>
      <c r="B480" s="3"/>
      <c r="C480" s="3"/>
      <c r="D480" s="3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3"/>
    </row>
    <row r="481" spans="1:15">
      <c r="A481" s="3"/>
      <c r="B481" s="3"/>
      <c r="C481" s="3"/>
      <c r="D481" s="3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3"/>
    </row>
    <row r="482" spans="1:15">
      <c r="A482" s="3"/>
      <c r="B482" s="3"/>
      <c r="C482" s="3"/>
      <c r="D482" s="3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3"/>
    </row>
    <row r="483" spans="1:15">
      <c r="A483" s="3"/>
      <c r="B483" s="3"/>
      <c r="C483" s="3"/>
      <c r="D483" s="3"/>
      <c r="E483" s="3"/>
      <c r="F483" s="4"/>
      <c r="G483" s="3"/>
      <c r="H483" s="3"/>
      <c r="I483" s="3"/>
      <c r="J483" s="3"/>
      <c r="K483" s="3"/>
      <c r="L483" s="3"/>
      <c r="M483" s="3"/>
      <c r="N483" s="3"/>
      <c r="O483" s="3"/>
    </row>
    <row r="484" spans="1:15">
      <c r="A484" s="3"/>
      <c r="B484" s="3"/>
      <c r="C484" s="3"/>
      <c r="D484" s="3"/>
      <c r="E484" s="3"/>
      <c r="F484" s="4"/>
      <c r="G484" s="3"/>
      <c r="H484" s="3"/>
      <c r="I484" s="3"/>
      <c r="J484" s="3"/>
      <c r="K484" s="3"/>
      <c r="L484" s="3"/>
      <c r="M484" s="3"/>
      <c r="N484" s="3"/>
      <c r="O484" s="3"/>
    </row>
    <row r="485" spans="1:15">
      <c r="A485" s="3"/>
      <c r="B485" s="3"/>
      <c r="C485" s="3"/>
      <c r="D485" s="3"/>
      <c r="E485" s="3"/>
      <c r="F485" s="4"/>
      <c r="G485" s="3"/>
      <c r="H485" s="3"/>
      <c r="I485" s="3"/>
      <c r="J485" s="3"/>
      <c r="K485" s="3"/>
      <c r="L485" s="3"/>
      <c r="M485" s="3"/>
      <c r="N485" s="3"/>
      <c r="O485" s="3"/>
    </row>
    <row r="486" spans="1:15">
      <c r="A486" s="3"/>
      <c r="B486" s="3"/>
      <c r="C486" s="3"/>
      <c r="D486" s="3"/>
      <c r="E486" s="3"/>
      <c r="F486" s="4"/>
      <c r="G486" s="3"/>
      <c r="H486" s="3"/>
      <c r="I486" s="3"/>
      <c r="J486" s="3"/>
      <c r="K486" s="3"/>
      <c r="L486" s="3"/>
      <c r="M486" s="3"/>
      <c r="N486" s="3"/>
      <c r="O486" s="3"/>
    </row>
    <row r="487" spans="1:15">
      <c r="A487" s="3"/>
      <c r="B487" s="3"/>
      <c r="C487" s="3"/>
      <c r="D487" s="3"/>
      <c r="E487" s="3"/>
      <c r="F487" s="4"/>
      <c r="G487" s="3"/>
      <c r="H487" s="3"/>
      <c r="I487" s="3"/>
      <c r="J487" s="3"/>
      <c r="K487" s="3"/>
      <c r="L487" s="3"/>
      <c r="M487" s="3"/>
      <c r="N487" s="3"/>
      <c r="O487" s="3"/>
    </row>
    <row r="488" spans="1:15">
      <c r="A488" s="3"/>
      <c r="B488" s="3"/>
      <c r="C488" s="3"/>
      <c r="D488" s="3"/>
      <c r="E488" s="3"/>
      <c r="F488" s="4"/>
      <c r="G488" s="3"/>
      <c r="H488" s="3"/>
      <c r="I488" s="3"/>
      <c r="J488" s="3"/>
      <c r="K488" s="3"/>
      <c r="L488" s="3"/>
      <c r="M488" s="3"/>
      <c r="N488" s="3"/>
      <c r="O488" s="3"/>
    </row>
    <row r="489" spans="1:15">
      <c r="A489" s="3"/>
      <c r="B489" s="3"/>
      <c r="C489" s="3"/>
      <c r="D489" s="3"/>
      <c r="E489" s="3"/>
      <c r="F489" s="4"/>
      <c r="G489" s="3"/>
      <c r="H489" s="3"/>
      <c r="I489" s="3"/>
      <c r="J489" s="3"/>
      <c r="K489" s="3"/>
      <c r="L489" s="3"/>
      <c r="M489" s="3"/>
      <c r="N489" s="3"/>
      <c r="O489" s="3"/>
    </row>
    <row r="490" spans="1:15">
      <c r="A490" s="3"/>
      <c r="B490" s="3"/>
      <c r="C490" s="3"/>
      <c r="D490" s="3"/>
      <c r="E490" s="3"/>
      <c r="F490" s="4"/>
      <c r="G490" s="3"/>
      <c r="H490" s="3"/>
      <c r="I490" s="3"/>
      <c r="J490" s="3"/>
      <c r="K490" s="3"/>
      <c r="L490" s="3"/>
      <c r="M490" s="3"/>
      <c r="N490" s="3"/>
      <c r="O490" s="3"/>
    </row>
    <row r="491" spans="1:15">
      <c r="A491" s="3"/>
      <c r="B491" s="3"/>
      <c r="C491" s="3"/>
      <c r="D491" s="3"/>
      <c r="E491" s="3"/>
      <c r="F491" s="4"/>
      <c r="G491" s="3"/>
      <c r="H491" s="3"/>
      <c r="I491" s="3"/>
      <c r="J491" s="3"/>
      <c r="K491" s="3"/>
      <c r="L491" s="3"/>
      <c r="M491" s="3"/>
      <c r="N491" s="3"/>
      <c r="O491" s="3"/>
    </row>
    <row r="492" spans="1:15">
      <c r="A492" s="3"/>
      <c r="B492" s="3"/>
      <c r="C492" s="3"/>
      <c r="D492" s="3"/>
      <c r="E492" s="3"/>
      <c r="F492" s="4"/>
      <c r="G492" s="3"/>
      <c r="H492" s="3"/>
      <c r="I492" s="3"/>
      <c r="J492" s="3"/>
      <c r="K492" s="3"/>
      <c r="L492" s="3"/>
      <c r="M492" s="3"/>
      <c r="N492" s="3"/>
      <c r="O492" s="3"/>
    </row>
    <row r="493" spans="1:15">
      <c r="A493" s="3"/>
      <c r="B493" s="3"/>
      <c r="C493" s="3"/>
      <c r="D493" s="3"/>
      <c r="E493" s="3"/>
      <c r="F493" s="4"/>
      <c r="G493" s="3"/>
      <c r="H493" s="3"/>
      <c r="I493" s="3"/>
      <c r="J493" s="3"/>
      <c r="K493" s="3"/>
      <c r="L493" s="3"/>
      <c r="M493" s="3"/>
      <c r="N493" s="3"/>
      <c r="O493" s="3"/>
    </row>
    <row r="494" spans="1:15">
      <c r="A494" s="3"/>
      <c r="B494" s="3"/>
      <c r="C494" s="3"/>
      <c r="D494" s="3"/>
      <c r="E494" s="3"/>
      <c r="F494" s="4"/>
      <c r="G494" s="3"/>
      <c r="H494" s="3"/>
      <c r="I494" s="3"/>
      <c r="J494" s="3"/>
      <c r="K494" s="3"/>
      <c r="L494" s="3"/>
      <c r="M494" s="3"/>
      <c r="N494" s="3"/>
      <c r="O494" s="3"/>
    </row>
    <row r="495" spans="1:15">
      <c r="A495" s="3"/>
      <c r="B495" s="3"/>
      <c r="C495" s="3"/>
      <c r="D495" s="3"/>
      <c r="E495" s="3"/>
      <c r="F495" s="4"/>
      <c r="G495" s="3"/>
      <c r="H495" s="3"/>
      <c r="I495" s="3"/>
      <c r="J495" s="3"/>
      <c r="K495" s="3"/>
      <c r="L495" s="3"/>
      <c r="M495" s="3"/>
      <c r="N495" s="3"/>
      <c r="O495" s="3"/>
    </row>
    <row r="496" spans="1:15">
      <c r="A496" s="3"/>
      <c r="B496" s="3"/>
      <c r="C496" s="3"/>
      <c r="D496" s="3"/>
      <c r="E496" s="3"/>
      <c r="F496" s="4"/>
      <c r="G496" s="3"/>
      <c r="H496" s="3"/>
      <c r="I496" s="3"/>
      <c r="J496" s="3"/>
      <c r="K496" s="3"/>
      <c r="L496" s="3"/>
      <c r="M496" s="3"/>
      <c r="N496" s="3"/>
      <c r="O496" s="3"/>
    </row>
    <row r="497" spans="1:15">
      <c r="A497" s="3"/>
      <c r="B497" s="3"/>
      <c r="C497" s="3"/>
      <c r="D497" s="3"/>
      <c r="E497" s="3"/>
      <c r="F497" s="4"/>
      <c r="G497" s="3"/>
      <c r="H497" s="3"/>
      <c r="I497" s="3"/>
      <c r="J497" s="3"/>
      <c r="K497" s="3"/>
      <c r="L497" s="3"/>
      <c r="M497" s="3"/>
      <c r="N497" s="3"/>
      <c r="O497" s="3"/>
    </row>
    <row r="498" spans="1:15">
      <c r="A498" s="3"/>
      <c r="B498" s="3"/>
      <c r="C498" s="3"/>
      <c r="D498" s="3"/>
      <c r="E498" s="3"/>
      <c r="F498" s="4"/>
      <c r="G498" s="3"/>
      <c r="H498" s="3"/>
      <c r="I498" s="3"/>
      <c r="J498" s="3"/>
      <c r="K498" s="3"/>
      <c r="L498" s="3"/>
      <c r="M498" s="3"/>
      <c r="N498" s="3"/>
      <c r="O498" s="3"/>
    </row>
    <row r="499" spans="1:15">
      <c r="A499" s="3"/>
      <c r="B499" s="3"/>
      <c r="C499" s="3"/>
      <c r="D499" s="3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3"/>
    </row>
    <row r="500" spans="1:15">
      <c r="A500" s="3"/>
      <c r="B500" s="3"/>
      <c r="C500" s="3"/>
      <c r="D500" s="3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3"/>
    </row>
  </sheetData>
  <dataValidations count="1">
    <dataValidation type="list" sqref="N2:N500" xr:uid="{00000000-0002-0000-0800-000000000000}">
      <formula1>"Planeada,Produzida,Revisada,Aceita,Rejeitada,Superseded"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"/>
  <sheetViews>
    <sheetView workbookViewId="0"/>
  </sheetViews>
  <sheetFormatPr defaultRowHeight="14.25"/>
  <cols>
    <col min="1" max="1" width="12" customWidth="1"/>
    <col min="2" max="2" width="16" customWidth="1"/>
    <col min="3" max="3" width="48" customWidth="1"/>
    <col min="4" max="4" width="18" customWidth="1"/>
    <col min="5" max="5" width="58" customWidth="1"/>
    <col min="6" max="7" width="18" customWidth="1"/>
    <col min="8" max="8" width="24" customWidth="1"/>
    <col min="9" max="9" width="22" customWidth="1"/>
    <col min="10" max="11" width="18" customWidth="1"/>
    <col min="12" max="12" width="40" customWidth="1"/>
  </cols>
  <sheetData>
    <row r="1" spans="1:12" ht="15">
      <c r="A1" s="1" t="s">
        <v>464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61</v>
      </c>
      <c r="G1" s="1" t="s">
        <v>469</v>
      </c>
      <c r="H1" s="1" t="s">
        <v>133</v>
      </c>
      <c r="I1" s="1" t="s">
        <v>470</v>
      </c>
      <c r="J1" s="1" t="s">
        <v>139</v>
      </c>
      <c r="K1" s="1" t="s">
        <v>462</v>
      </c>
      <c r="L1" s="1" t="s">
        <v>68</v>
      </c>
    </row>
    <row r="2" spans="1:12" ht="28.5">
      <c r="A2" s="3" t="s">
        <v>471</v>
      </c>
      <c r="B2" s="3" t="s">
        <v>472</v>
      </c>
      <c r="C2" s="3" t="s">
        <v>473</v>
      </c>
      <c r="D2" s="3"/>
      <c r="E2" s="3" t="s">
        <v>474</v>
      </c>
      <c r="F2" s="3" t="s">
        <v>475</v>
      </c>
      <c r="G2" s="3"/>
      <c r="H2" s="3"/>
      <c r="I2" s="3"/>
      <c r="J2" s="3"/>
      <c r="K2" s="3"/>
      <c r="L2" s="3"/>
    </row>
    <row r="3" spans="1:12">
      <c r="A3" s="3" t="s">
        <v>476</v>
      </c>
      <c r="B3" s="3" t="s">
        <v>472</v>
      </c>
      <c r="C3" s="3" t="s">
        <v>477</v>
      </c>
      <c r="D3" s="3"/>
      <c r="E3" s="3" t="s">
        <v>478</v>
      </c>
      <c r="F3" s="3" t="s">
        <v>475</v>
      </c>
      <c r="G3" s="3"/>
      <c r="H3" s="3"/>
      <c r="I3" s="3"/>
      <c r="J3" s="3"/>
      <c r="K3" s="3"/>
      <c r="L3" s="3"/>
    </row>
    <row r="4" spans="1:12">
      <c r="A4" s="3" t="s">
        <v>479</v>
      </c>
      <c r="B4" s="3" t="s">
        <v>472</v>
      </c>
      <c r="C4" s="3" t="s">
        <v>480</v>
      </c>
      <c r="D4" s="3" t="s">
        <v>481</v>
      </c>
      <c r="E4" s="3" t="s">
        <v>482</v>
      </c>
      <c r="F4" s="3" t="s">
        <v>475</v>
      </c>
      <c r="G4" s="3"/>
      <c r="H4" s="3"/>
      <c r="I4" s="3"/>
      <c r="J4" s="3"/>
      <c r="K4" s="3"/>
      <c r="L4" s="3"/>
    </row>
    <row r="5" spans="1:12">
      <c r="A5" s="3" t="s">
        <v>483</v>
      </c>
      <c r="B5" s="3" t="s">
        <v>472</v>
      </c>
      <c r="C5" s="3" t="s">
        <v>484</v>
      </c>
      <c r="D5" s="3" t="s">
        <v>485</v>
      </c>
      <c r="E5" s="3" t="s">
        <v>486</v>
      </c>
      <c r="F5" s="3" t="s">
        <v>475</v>
      </c>
      <c r="G5" s="3"/>
      <c r="H5" s="3"/>
      <c r="I5" s="3"/>
      <c r="J5" s="3"/>
      <c r="K5" s="3"/>
      <c r="L5" s="3"/>
    </row>
    <row r="6" spans="1:12">
      <c r="A6" s="3" t="s">
        <v>487</v>
      </c>
      <c r="B6" s="3" t="s">
        <v>472</v>
      </c>
      <c r="C6" s="3" t="s">
        <v>488</v>
      </c>
      <c r="D6" s="3" t="s">
        <v>489</v>
      </c>
      <c r="E6" s="3" t="s">
        <v>490</v>
      </c>
      <c r="F6" s="3" t="s">
        <v>475</v>
      </c>
      <c r="G6" s="3"/>
      <c r="H6" s="3"/>
      <c r="I6" s="3"/>
      <c r="J6" s="3"/>
      <c r="K6" s="3"/>
      <c r="L6" s="3"/>
    </row>
    <row r="7" spans="1:12">
      <c r="A7" s="3" t="s">
        <v>491</v>
      </c>
      <c r="B7" s="3" t="s">
        <v>472</v>
      </c>
      <c r="C7" s="3" t="s">
        <v>492</v>
      </c>
      <c r="D7" s="3" t="s">
        <v>493</v>
      </c>
      <c r="E7" s="3" t="s">
        <v>494</v>
      </c>
      <c r="F7" s="3" t="s">
        <v>475</v>
      </c>
      <c r="G7" s="3"/>
      <c r="H7" s="3"/>
      <c r="I7" s="3"/>
      <c r="J7" s="3"/>
      <c r="K7" s="3"/>
      <c r="L7" s="3"/>
    </row>
    <row r="8" spans="1:12" ht="28.5">
      <c r="A8" s="3" t="s">
        <v>495</v>
      </c>
      <c r="B8" s="3" t="s">
        <v>472</v>
      </c>
      <c r="C8" s="3" t="s">
        <v>496</v>
      </c>
      <c r="D8" s="3" t="s">
        <v>497</v>
      </c>
      <c r="E8" s="3" t="s">
        <v>498</v>
      </c>
      <c r="F8" s="3" t="s">
        <v>475</v>
      </c>
      <c r="G8" s="3"/>
      <c r="H8" s="3"/>
      <c r="I8" s="3"/>
      <c r="J8" s="3"/>
      <c r="K8" s="3"/>
      <c r="L8" s="3"/>
    </row>
    <row r="9" spans="1:12" ht="28.5">
      <c r="A9" s="3" t="s">
        <v>499</v>
      </c>
      <c r="B9" s="3" t="s">
        <v>472</v>
      </c>
      <c r="C9" s="3" t="s">
        <v>500</v>
      </c>
      <c r="D9" s="3"/>
      <c r="E9" s="3" t="s">
        <v>501</v>
      </c>
      <c r="F9" s="3" t="s">
        <v>475</v>
      </c>
      <c r="G9" s="3"/>
      <c r="H9" s="3"/>
      <c r="I9" s="3"/>
      <c r="J9" s="3"/>
      <c r="K9" s="3"/>
      <c r="L9" s="3"/>
    </row>
    <row r="10" spans="1:12" ht="28.5">
      <c r="A10" s="3" t="s">
        <v>502</v>
      </c>
      <c r="B10" s="3" t="s">
        <v>503</v>
      </c>
      <c r="C10" s="3" t="s">
        <v>504</v>
      </c>
      <c r="D10" s="3"/>
      <c r="E10" s="3" t="s">
        <v>505</v>
      </c>
      <c r="F10" s="3" t="s">
        <v>475</v>
      </c>
      <c r="G10" s="3"/>
      <c r="H10" s="3"/>
      <c r="I10" s="3"/>
      <c r="J10" s="3"/>
      <c r="K10" s="3"/>
      <c r="L10" s="3"/>
    </row>
    <row r="11" spans="1:12">
      <c r="A11" s="3" t="s">
        <v>506</v>
      </c>
      <c r="B11" s="3" t="s">
        <v>503</v>
      </c>
      <c r="C11" s="3" t="s">
        <v>507</v>
      </c>
      <c r="D11" s="3" t="s">
        <v>508</v>
      </c>
      <c r="E11" s="3" t="s">
        <v>509</v>
      </c>
      <c r="F11" s="3" t="s">
        <v>475</v>
      </c>
      <c r="G11" s="3"/>
      <c r="H11" s="3"/>
      <c r="I11" s="3"/>
      <c r="J11" s="3"/>
      <c r="K11" s="3"/>
      <c r="L11" s="3"/>
    </row>
    <row r="12" spans="1:12">
      <c r="A12" s="3" t="s">
        <v>510</v>
      </c>
      <c r="B12" s="3" t="s">
        <v>503</v>
      </c>
      <c r="C12" s="3" t="s">
        <v>511</v>
      </c>
      <c r="D12" s="3" t="s">
        <v>511</v>
      </c>
      <c r="E12" s="3" t="s">
        <v>512</v>
      </c>
      <c r="F12" s="3" t="s">
        <v>475</v>
      </c>
      <c r="G12" s="3"/>
      <c r="H12" s="3"/>
      <c r="I12" s="3"/>
      <c r="J12" s="3"/>
      <c r="K12" s="3"/>
      <c r="L12" s="3"/>
    </row>
    <row r="13" spans="1:12" ht="28.5">
      <c r="A13" s="3" t="s">
        <v>513</v>
      </c>
      <c r="B13" s="3" t="s">
        <v>503</v>
      </c>
      <c r="C13" s="3" t="s">
        <v>514</v>
      </c>
      <c r="D13" s="3" t="s">
        <v>515</v>
      </c>
      <c r="E13" s="3" t="s">
        <v>516</v>
      </c>
      <c r="F13" s="3" t="s">
        <v>475</v>
      </c>
      <c r="G13" s="3"/>
      <c r="H13" s="3"/>
      <c r="I13" s="3"/>
      <c r="J13" s="3"/>
      <c r="K13" s="3"/>
      <c r="L13" s="3"/>
    </row>
    <row r="14" spans="1:12">
      <c r="A14" s="3" t="s">
        <v>517</v>
      </c>
      <c r="B14" s="3" t="s">
        <v>503</v>
      </c>
      <c r="C14" s="3" t="s">
        <v>518</v>
      </c>
      <c r="D14" s="3" t="s">
        <v>519</v>
      </c>
      <c r="E14" s="3" t="s">
        <v>520</v>
      </c>
      <c r="F14" s="3" t="s">
        <v>475</v>
      </c>
      <c r="G14" s="3"/>
      <c r="H14" s="3"/>
      <c r="I14" s="3"/>
      <c r="J14" s="3"/>
      <c r="K14" s="3"/>
      <c r="L14" s="3"/>
    </row>
    <row r="15" spans="1:12" ht="28.5">
      <c r="A15" s="3" t="s">
        <v>521</v>
      </c>
      <c r="B15" s="3" t="s">
        <v>522</v>
      </c>
      <c r="C15" s="3" t="s">
        <v>523</v>
      </c>
      <c r="D15" s="3"/>
      <c r="E15" s="3" t="s">
        <v>524</v>
      </c>
      <c r="F15" s="3" t="s">
        <v>475</v>
      </c>
      <c r="G15" s="3"/>
      <c r="H15" s="3"/>
      <c r="I15" s="3"/>
      <c r="J15" s="3"/>
      <c r="K15" s="3"/>
      <c r="L15" s="3"/>
    </row>
  </sheetData>
  <dataValidations count="1">
    <dataValidation type="list" sqref="F2:F200" xr:uid="{00000000-0002-0000-0900-000000000000}">
      <formula1>"Planeado,Em preparação,Em execução,Verificado,Validado,Bloqueado,Adiado,Cancelado"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"/>
  <sheetViews>
    <sheetView workbookViewId="0"/>
  </sheetViews>
  <sheetFormatPr defaultRowHeight="14.25"/>
  <cols>
    <col min="1" max="1" width="22" customWidth="1"/>
    <col min="2" max="2" width="18" customWidth="1"/>
    <col min="3" max="3" width="14" customWidth="1"/>
    <col min="4" max="4" width="28" customWidth="1"/>
    <col min="5" max="5" width="40" customWidth="1"/>
    <col min="6" max="6" width="16" customWidth="1"/>
    <col min="7" max="9" width="28" customWidth="1"/>
    <col min="10" max="10" width="18" customWidth="1"/>
    <col min="11" max="11" width="66" customWidth="1"/>
    <col min="12" max="12" width="40" customWidth="1"/>
  </cols>
  <sheetData>
    <row r="1" spans="1:12" ht="15">
      <c r="A1" s="1" t="s">
        <v>525</v>
      </c>
      <c r="B1" s="1" t="s">
        <v>163</v>
      </c>
      <c r="C1" s="1" t="s">
        <v>129</v>
      </c>
      <c r="D1" s="1" t="s">
        <v>526</v>
      </c>
      <c r="E1" s="1" t="s">
        <v>141</v>
      </c>
      <c r="F1" s="1" t="s">
        <v>61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68</v>
      </c>
    </row>
    <row r="2" spans="1:12" ht="28.5">
      <c r="A2" s="3" t="s">
        <v>532</v>
      </c>
      <c r="B2" s="3" t="s">
        <v>533</v>
      </c>
      <c r="C2" s="4">
        <v>46273</v>
      </c>
      <c r="D2" s="3" t="s">
        <v>9</v>
      </c>
      <c r="E2" s="3" t="s">
        <v>11</v>
      </c>
      <c r="F2" s="3" t="s">
        <v>534</v>
      </c>
      <c r="G2" s="3"/>
      <c r="H2" s="3"/>
      <c r="I2" s="3"/>
      <c r="J2" s="3"/>
      <c r="K2" s="3" t="s">
        <v>535</v>
      </c>
      <c r="L2" s="3" t="s">
        <v>536</v>
      </c>
    </row>
    <row r="3" spans="1:12" ht="42.75">
      <c r="A3" s="3" t="s">
        <v>537</v>
      </c>
      <c r="B3" s="3" t="s">
        <v>538</v>
      </c>
      <c r="C3" s="4"/>
      <c r="D3" s="3"/>
      <c r="E3" s="3"/>
      <c r="F3" s="3" t="s">
        <v>539</v>
      </c>
      <c r="G3" s="3"/>
      <c r="H3" s="3"/>
      <c r="I3" s="3"/>
      <c r="J3" s="3"/>
      <c r="K3" s="3" t="s">
        <v>540</v>
      </c>
      <c r="L3" s="3"/>
    </row>
    <row r="4" spans="1:12">
      <c r="A4" s="3"/>
      <c r="B4" s="3"/>
      <c r="C4" s="4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4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4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4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4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4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4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4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4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4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4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4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4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4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4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4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4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4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4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4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4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4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4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4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4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4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4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4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4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4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4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4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4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4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4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4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4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4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</row>
  </sheetData>
  <dataValidations count="1">
    <dataValidation type="list" sqref="F2:F100" xr:uid="{00000000-0002-0000-0A00-000000000000}">
      <formula1>"Planeada,Em preparação,Candidata,Liberada,Preservada,Superseded"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workbookViewId="0"/>
  </sheetViews>
  <sheetFormatPr defaultRowHeight="14.25"/>
  <cols>
    <col min="1" max="1" width="24" customWidth="1"/>
    <col min="2" max="6" width="22" customWidth="1"/>
  </cols>
  <sheetData>
    <row r="1" spans="1:6" ht="15">
      <c r="A1" s="1" t="s">
        <v>541</v>
      </c>
      <c r="B1" s="1" t="s">
        <v>542</v>
      </c>
      <c r="C1" s="1" t="s">
        <v>543</v>
      </c>
      <c r="D1" s="1" t="s">
        <v>544</v>
      </c>
      <c r="E1" s="1" t="s">
        <v>545</v>
      </c>
      <c r="F1" s="1" t="s">
        <v>546</v>
      </c>
    </row>
    <row r="2" spans="1:6">
      <c r="A2" s="3" t="s">
        <v>547</v>
      </c>
      <c r="B2" s="3" t="s">
        <v>46</v>
      </c>
      <c r="C2" s="3" t="s">
        <v>48</v>
      </c>
      <c r="D2" s="3" t="s">
        <v>50</v>
      </c>
      <c r="E2" s="3" t="s">
        <v>52</v>
      </c>
      <c r="F2" s="3" t="s">
        <v>54</v>
      </c>
    </row>
    <row r="3" spans="1:6">
      <c r="A3" s="3" t="s">
        <v>548</v>
      </c>
      <c r="B3" s="3" t="s">
        <v>80</v>
      </c>
      <c r="C3" s="3" t="s">
        <v>86</v>
      </c>
      <c r="D3" s="3" t="s">
        <v>549</v>
      </c>
      <c r="E3" s="3" t="s">
        <v>72</v>
      </c>
      <c r="F3" s="3" t="s">
        <v>550</v>
      </c>
    </row>
    <row r="4" spans="1:6" ht="28.5">
      <c r="A4" s="3" t="s">
        <v>551</v>
      </c>
      <c r="B4" s="3" t="s">
        <v>552</v>
      </c>
      <c r="C4" s="3" t="s">
        <v>86</v>
      </c>
      <c r="D4" s="3" t="s">
        <v>152</v>
      </c>
      <c r="E4" s="3" t="s">
        <v>553</v>
      </c>
      <c r="F4" s="3" t="s">
        <v>554</v>
      </c>
    </row>
    <row r="5" spans="1:6">
      <c r="A5" s="3" t="s">
        <v>555</v>
      </c>
      <c r="B5" s="3" t="s">
        <v>73</v>
      </c>
      <c r="C5" s="3" t="s">
        <v>556</v>
      </c>
      <c r="D5" s="3" t="s">
        <v>557</v>
      </c>
      <c r="E5" s="3" t="s">
        <v>558</v>
      </c>
      <c r="F5" s="3"/>
    </row>
    <row r="6" spans="1:6">
      <c r="A6" s="3" t="s">
        <v>559</v>
      </c>
      <c r="B6" s="3" t="s">
        <v>157</v>
      </c>
      <c r="C6" s="3" t="s">
        <v>560</v>
      </c>
      <c r="D6" s="3" t="s">
        <v>561</v>
      </c>
      <c r="E6" s="3" t="s">
        <v>562</v>
      </c>
      <c r="F6" s="3"/>
    </row>
    <row r="7" spans="1:6">
      <c r="A7" s="3" t="s">
        <v>563</v>
      </c>
      <c r="B7" s="3" t="s">
        <v>80</v>
      </c>
      <c r="C7" s="3" t="s">
        <v>564</v>
      </c>
      <c r="D7" s="3" t="s">
        <v>565</v>
      </c>
      <c r="E7" s="3" t="s">
        <v>553</v>
      </c>
      <c r="F7" s="3" t="s">
        <v>566</v>
      </c>
    </row>
    <row r="9" spans="1:6">
      <c r="A9" s="13" t="s">
        <v>567</v>
      </c>
      <c r="B9" s="13"/>
      <c r="C9" s="13"/>
      <c r="D9" s="13"/>
      <c r="E9" s="13"/>
      <c r="F9" s="13"/>
    </row>
    <row r="10" spans="1:6">
      <c r="A10" s="13"/>
      <c r="B10" s="13"/>
      <c r="C10" s="13"/>
      <c r="D10" s="13"/>
      <c r="E10" s="13"/>
      <c r="F10" s="13"/>
    </row>
    <row r="11" spans="1:6">
      <c r="A11" s="13"/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</sheetData>
  <mergeCells count="1">
    <mergeCell ref="A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00_README</vt:lpstr>
      <vt:lpstr>01_Dashboard</vt:lpstr>
      <vt:lpstr>02_P0_Actions</vt:lpstr>
      <vt:lpstr>03_Change_Register</vt:lpstr>
      <vt:lpstr>04_Repository_Audit</vt:lpstr>
      <vt:lpstr>05_Requirements</vt:lpstr>
      <vt:lpstr>06_Decisions_ADRs</vt:lpstr>
      <vt:lpstr>07_Tests</vt:lpstr>
      <vt:lpstr>08_Evidence</vt:lpstr>
      <vt:lpstr>09_Roadmap_Cases</vt:lpstr>
      <vt:lpstr>10_Releases</vt:lpstr>
      <vt:lpstr>11_Lists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Flávio Vasconcellos</cp:lastModifiedBy>
  <dcterms:modified xsi:type="dcterms:W3CDTF">2026-09-08T14:09:17Z</dcterms:modified>
</cp:coreProperties>
</file>